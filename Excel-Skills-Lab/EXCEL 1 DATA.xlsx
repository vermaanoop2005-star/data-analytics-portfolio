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7CBF701D-B268-4D30-8270-00C97AF7840A}" xr6:coauthVersionLast="47" xr6:coauthVersionMax="47" xr10:uidLastSave="{00000000-0000-0000-0000-000000000000}"/>
  <bookViews>
    <workbookView xWindow="-108" yWindow="-108" windowWidth="23256" windowHeight="12456" activeTab="3" xr2:uid="{4FC9527C-44C5-4387-84FE-9B21E061BDB0}"/>
  </bookViews>
  <sheets>
    <sheet name="sheet4" sheetId="4" r:id="rId1"/>
    <sheet name="Sheet6" sheetId="7" r:id="rId2"/>
    <sheet name="Sheet1" sheetId="5" r:id="rId3"/>
    <sheet name="Sheet5" sheetId="6" r:id="rId4"/>
    <sheet name="Sheet2" sheetId="2" r:id="rId5"/>
    <sheet name="Sheet3" sheetId="3" r:id="rId6"/>
    <sheet name="Sheet7" sheetId="8" r:id="rId7"/>
    <sheet name="Sheet8" sheetId="9" r:id="rId8"/>
    <sheet name="Sheet9" sheetId="10" r:id="rId9"/>
  </sheets>
  <definedNames>
    <definedName name="_xlnm.Print_Area" localSheetId="3">Sheet5!$A$1:$C$9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6" l="1"/>
  <c r="I8" i="6"/>
  <c r="F8" i="6"/>
  <c r="D20" i="6"/>
  <c r="D12" i="6"/>
  <c r="H11" i="8"/>
  <c r="M26" i="8"/>
  <c r="L26" i="8"/>
  <c r="L25" i="8"/>
  <c r="L24" i="8"/>
  <c r="L23" i="8"/>
  <c r="L22" i="8"/>
  <c r="L21" i="8"/>
  <c r="L20" i="8"/>
  <c r="L19" i="8"/>
  <c r="L18" i="8"/>
  <c r="L17" i="8"/>
  <c r="K10" i="8"/>
  <c r="I10" i="8"/>
  <c r="H10" i="8"/>
  <c r="K9" i="8"/>
  <c r="K8" i="8"/>
  <c r="H8" i="8"/>
  <c r="K7" i="8"/>
  <c r="H7" i="8"/>
  <c r="K6" i="8"/>
  <c r="J6" i="8"/>
  <c r="K5" i="8"/>
  <c r="H5" i="8"/>
  <c r="K4" i="8"/>
  <c r="J4" i="8"/>
  <c r="H4" i="8"/>
  <c r="K3" i="8"/>
  <c r="H3" i="8"/>
  <c r="K2" i="8"/>
  <c r="H2" i="8"/>
  <c r="K1" i="8"/>
  <c r="H1" i="8"/>
  <c r="L115" i="3"/>
  <c r="J115" i="3"/>
  <c r="I115" i="3"/>
  <c r="L114" i="3"/>
  <c r="K114" i="3"/>
  <c r="I114" i="3"/>
  <c r="L113" i="3"/>
  <c r="I113" i="3"/>
  <c r="L112" i="3"/>
  <c r="I112" i="3"/>
  <c r="L111" i="3"/>
  <c r="K111" i="3"/>
  <c r="I111" i="3"/>
  <c r="L110" i="3"/>
  <c r="K110" i="3"/>
  <c r="I110" i="3"/>
  <c r="L109" i="3"/>
  <c r="I109" i="3"/>
  <c r="L108" i="3"/>
  <c r="I108" i="3"/>
  <c r="L107" i="3"/>
  <c r="K107" i="3"/>
  <c r="I107" i="3"/>
  <c r="L106" i="3"/>
  <c r="I106" i="3"/>
  <c r="I92" i="3"/>
  <c r="K92" i="3"/>
  <c r="L92" i="3"/>
  <c r="I93" i="3"/>
  <c r="L93" i="3"/>
  <c r="I94" i="3"/>
  <c r="K94" i="3"/>
  <c r="L94" i="3"/>
  <c r="I95" i="3"/>
  <c r="K95" i="3"/>
  <c r="L95" i="3"/>
  <c r="I96" i="3"/>
  <c r="K96" i="3"/>
  <c r="L96" i="3"/>
  <c r="I97" i="3"/>
  <c r="L97" i="3"/>
  <c r="I98" i="3"/>
  <c r="K98" i="3"/>
  <c r="L98" i="3"/>
  <c r="I99" i="3"/>
  <c r="K99" i="3"/>
  <c r="L99" i="3"/>
  <c r="I100" i="3"/>
  <c r="J100" i="3"/>
  <c r="K100" i="3"/>
  <c r="L100" i="3"/>
  <c r="I80" i="3"/>
  <c r="K80" i="3"/>
  <c r="I81" i="3"/>
  <c r="K81" i="3"/>
  <c r="I82" i="3"/>
  <c r="K82" i="3"/>
  <c r="I83" i="3"/>
  <c r="K83" i="3"/>
  <c r="I84" i="3"/>
  <c r="K84" i="3"/>
  <c r="I85" i="3"/>
  <c r="I86" i="3"/>
  <c r="K86" i="3"/>
  <c r="I87" i="3"/>
  <c r="K87" i="3"/>
  <c r="I88" i="3"/>
  <c r="J88" i="3"/>
  <c r="K88" i="3"/>
  <c r="L91" i="3"/>
  <c r="I91" i="3"/>
  <c r="L88" i="3"/>
  <c r="L87" i="3"/>
  <c r="L86" i="3"/>
  <c r="L85" i="3"/>
  <c r="L84" i="3"/>
  <c r="L83" i="3"/>
  <c r="L82" i="3"/>
  <c r="L81" i="3"/>
  <c r="L80" i="3"/>
  <c r="L79" i="3"/>
  <c r="I79" i="3"/>
  <c r="L75" i="3"/>
  <c r="J75" i="3"/>
  <c r="I75" i="3"/>
  <c r="L74" i="3"/>
  <c r="I74" i="3"/>
  <c r="L73" i="3"/>
  <c r="I73" i="3"/>
  <c r="L72" i="3"/>
  <c r="I72" i="3"/>
  <c r="L71" i="3"/>
  <c r="K71" i="3"/>
  <c r="I71" i="3"/>
  <c r="L70" i="3"/>
  <c r="I70" i="3"/>
  <c r="L69" i="3"/>
  <c r="I69" i="3"/>
  <c r="L68" i="3"/>
  <c r="I68" i="3"/>
  <c r="L67" i="3"/>
  <c r="I67" i="3"/>
  <c r="L66" i="3"/>
  <c r="I66" i="3"/>
  <c r="J40" i="3"/>
  <c r="J39" i="3"/>
  <c r="J38" i="3"/>
  <c r="J37" i="3"/>
  <c r="J36" i="3"/>
  <c r="J35" i="3"/>
  <c r="J34" i="3"/>
  <c r="J33" i="3"/>
  <c r="J32" i="3"/>
  <c r="J31" i="3"/>
  <c r="H2" i="3"/>
  <c r="D26" i="3"/>
  <c r="D25" i="3"/>
  <c r="D24" i="3"/>
  <c r="D23" i="3"/>
  <c r="D22" i="3"/>
  <c r="D21" i="3"/>
  <c r="D20" i="3"/>
  <c r="D19" i="3"/>
  <c r="D18" i="3"/>
  <c r="D17" i="3"/>
  <c r="N21" i="5"/>
  <c r="K10" i="5"/>
  <c r="I10" i="5"/>
  <c r="H10" i="5"/>
  <c r="K9" i="5"/>
  <c r="H9" i="5"/>
  <c r="K8" i="5"/>
  <c r="H8" i="5"/>
  <c r="K7" i="5"/>
  <c r="H7" i="5"/>
  <c r="K6" i="5"/>
  <c r="J6" i="5"/>
  <c r="H6" i="5"/>
  <c r="K5" i="5"/>
  <c r="H5" i="5"/>
  <c r="K4" i="5"/>
  <c r="H4" i="5"/>
  <c r="K3" i="5"/>
  <c r="K2" i="5"/>
  <c r="H2" i="5"/>
  <c r="K1" i="5"/>
  <c r="H1" i="5"/>
  <c r="O40" i="2"/>
  <c r="N40" i="2"/>
  <c r="M40" i="2"/>
  <c r="N19" i="2"/>
  <c r="V10" i="2"/>
  <c r="G2" i="2" a="1"/>
  <c r="G3" i="2" a="1"/>
  <c r="G4" i="2" a="1"/>
  <c r="G5" i="2" a="1"/>
  <c r="G6" i="2" a="1"/>
  <c r="G7" i="2" a="1"/>
  <c r="G8" i="2" a="1"/>
  <c r="G9" i="2" a="1"/>
  <c r="G10" i="2" a="1"/>
  <c r="G11" i="2" a="1"/>
  <c r="M19" i="2"/>
  <c r="M20" i="2"/>
  <c r="M21" i="2"/>
  <c r="M22" i="2"/>
  <c r="M23" i="2"/>
  <c r="M24" i="2"/>
  <c r="M25" i="2"/>
  <c r="M26" i="2"/>
  <c r="M27" i="2"/>
  <c r="M28" i="2"/>
  <c r="M29" i="2"/>
  <c r="N20" i="2"/>
  <c r="N21" i="2"/>
  <c r="N22" i="2"/>
  <c r="N23" i="2"/>
  <c r="N24" i="2"/>
  <c r="N25" i="2"/>
  <c r="N26" i="2"/>
  <c r="N27" i="2"/>
  <c r="N28" i="2"/>
  <c r="N29" i="2"/>
  <c r="O19" i="2"/>
  <c r="O20" i="2"/>
  <c r="O21" i="2"/>
  <c r="O22" i="2"/>
  <c r="O23" i="2"/>
  <c r="O24" i="2"/>
  <c r="O25" i="2"/>
  <c r="O26" i="2"/>
  <c r="O27" i="2"/>
  <c r="O28" i="2"/>
  <c r="O29" i="2"/>
  <c r="F11" i="2"/>
  <c r="F10" i="2"/>
  <c r="F9" i="2"/>
  <c r="F8" i="2"/>
  <c r="F7" i="2"/>
  <c r="F6" i="2"/>
  <c r="F5" i="2"/>
  <c r="F4" i="2"/>
  <c r="F3" i="2"/>
  <c r="F2" i="2"/>
  <c r="V17" i="2"/>
  <c r="V16" i="2"/>
  <c r="V15" i="2"/>
  <c r="V14" i="2"/>
  <c r="V13" i="2"/>
  <c r="V12" i="2"/>
  <c r="V11" i="2"/>
  <c r="V9" i="2"/>
  <c r="V8" i="2"/>
  <c r="V7" i="2"/>
  <c r="H8" i="3"/>
  <c r="M39" i="2"/>
  <c r="M31" i="2"/>
  <c r="M33" i="2"/>
  <c r="M30" i="2"/>
  <c r="N34" i="2"/>
  <c r="M34" i="2"/>
  <c r="M37" i="2"/>
  <c r="M36" i="2"/>
  <c r="M32" i="2"/>
  <c r="M38" i="2"/>
  <c r="M35" i="2"/>
  <c r="J7" i="3"/>
  <c r="H3" i="3"/>
  <c r="H4" i="3"/>
  <c r="H5" i="3"/>
  <c r="H6" i="3"/>
  <c r="H7" i="3"/>
  <c r="H9" i="3"/>
  <c r="J9" i="3" s="1"/>
  <c r="L10" i="3" s="1"/>
  <c r="H10" i="3"/>
  <c r="J10" i="3" s="1"/>
  <c r="L11" i="3" s="1"/>
  <c r="H11" i="3"/>
  <c r="J11" i="3" s="1"/>
  <c r="K12" i="3" s="1"/>
  <c r="K13" i="3"/>
  <c r="J2" i="3"/>
  <c r="L2" i="3" s="1"/>
  <c r="J2" i="8" l="1"/>
  <c r="J1" i="8"/>
  <c r="J9" i="8"/>
  <c r="J3" i="8"/>
  <c r="J8" i="8"/>
  <c r="J5" i="8"/>
  <c r="J10" i="8"/>
  <c r="K108" i="3"/>
  <c r="K115" i="3"/>
  <c r="K113" i="3"/>
  <c r="K109" i="3"/>
  <c r="K106" i="3"/>
  <c r="K93" i="3"/>
  <c r="K91" i="3"/>
  <c r="K79" i="3"/>
  <c r="K74" i="3"/>
  <c r="K73" i="3"/>
  <c r="K70" i="3"/>
  <c r="K69" i="3"/>
  <c r="K68" i="3"/>
  <c r="K66" i="3"/>
  <c r="K75" i="3"/>
  <c r="K67" i="3"/>
  <c r="J8" i="5"/>
  <c r="J5" i="5"/>
  <c r="J10" i="5"/>
  <c r="J9" i="5"/>
  <c r="J3" i="5"/>
  <c r="J1" i="5"/>
  <c r="J4" i="5"/>
  <c r="J2" i="5"/>
  <c r="I11" i="3"/>
  <c r="L9" i="3"/>
  <c r="K3" i="3"/>
  <c r="O39" i="2"/>
  <c r="N31" i="2"/>
  <c r="O37" i="2"/>
  <c r="N37" i="2"/>
  <c r="O36" i="2"/>
  <c r="N32" i="2"/>
  <c r="O38" i="2"/>
  <c r="N35" i="2"/>
  <c r="N39" i="2"/>
  <c r="O31" i="2"/>
  <c r="O33" i="2"/>
  <c r="N33" i="2"/>
  <c r="O30" i="2"/>
  <c r="N30" i="2"/>
  <c r="O34" i="2"/>
  <c r="N36" i="2"/>
  <c r="O32" i="2"/>
  <c r="N38" i="2"/>
  <c r="O35" i="2"/>
  <c r="K2" i="3"/>
  <c r="K4" i="3"/>
  <c r="K6" i="3"/>
  <c r="K7" i="3"/>
  <c r="K8" i="3"/>
  <c r="K9" i="3"/>
  <c r="K10" i="3"/>
  <c r="K11" i="3"/>
  <c r="K5" i="3"/>
  <c r="L8" i="3"/>
  <c r="J3" i="3"/>
  <c r="L3" i="3" s="1"/>
  <c r="J4" i="3"/>
  <c r="L4" i="3" s="1"/>
  <c r="J5" i="3"/>
  <c r="L6" i="3" s="1"/>
  <c r="J6" i="3"/>
  <c r="L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anoop verma</author>
  </authors>
  <commentList>
    <comment ref="C79" authorId="0" shapeId="0" xr:uid="{941AEE11-2EFE-4187-9283-E56663147F95}">
      <text>
        <r>
          <rPr>
            <b/>
            <sz val="9"/>
            <color indexed="81"/>
            <rFont val="Tahoma"/>
            <charset val="1"/>
          </rPr>
          <t>anoop verma:</t>
        </r>
        <r>
          <rPr>
            <sz val="9"/>
            <color indexed="81"/>
            <rFont val="Tahoma"/>
            <charset val="1"/>
          </rPr>
          <t xml:space="preserve">
name</t>
        </r>
      </text>
    </comment>
    <comment ref="E107" authorId="0" shapeId="0" xr:uid="{26026EAF-7CB1-499E-87BF-02B4B98B8A0D}">
      <text>
        <r>
          <rPr>
            <b/>
            <sz val="9"/>
            <color indexed="81"/>
            <rFont val="Tahoma"/>
            <family val="2"/>
          </rPr>
          <t>anoop verma: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account</t>
        </r>
      </text>
    </comment>
    <comment ref="E108" authorId="0" shapeId="0" xr:uid="{0BA7F969-EC0B-4C5A-AAD6-D35009A75472}">
      <text>
        <r>
          <rPr>
            <b/>
            <sz val="9"/>
            <color indexed="81"/>
            <rFont val="Tahoma"/>
            <family val="2"/>
          </rPr>
          <t>anoop verma: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account</t>
        </r>
      </text>
    </comment>
    <comment ref="E109" authorId="0" shapeId="0" xr:uid="{F1C615A7-23E8-48DA-99EB-A306A0EEB6C0}">
      <text>
        <r>
          <rPr>
            <b/>
            <sz val="9"/>
            <color indexed="81"/>
            <rFont val="Tahoma"/>
            <family val="2"/>
          </rPr>
          <t>anoop verma: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account</t>
        </r>
      </text>
    </comment>
    <comment ref="E110" authorId="0" shapeId="0" xr:uid="{DBC1D432-0C29-48AB-BFD7-41F5589FCC3B}">
      <text>
        <r>
          <rPr>
            <b/>
            <sz val="9"/>
            <color indexed="81"/>
            <rFont val="Tahoma"/>
            <family val="2"/>
          </rPr>
          <t>anoop verma: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account</t>
        </r>
      </text>
    </comment>
    <comment ref="E111" authorId="0" shapeId="0" xr:uid="{42037E05-8DD0-49D4-AE09-86A531B6D9CB}">
      <text>
        <r>
          <rPr>
            <b/>
            <sz val="9"/>
            <color indexed="81"/>
            <rFont val="Tahoma"/>
            <family val="2"/>
          </rPr>
          <t>anoop verma: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account</t>
        </r>
      </text>
    </comment>
    <comment ref="E112" authorId="0" shapeId="0" xr:uid="{95948758-67EE-4CC4-8064-DFF743537628}">
      <text>
        <r>
          <rPr>
            <b/>
            <sz val="9"/>
            <color indexed="81"/>
            <rFont val="Tahoma"/>
            <family val="2"/>
          </rPr>
          <t>anoop verma: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account</t>
        </r>
      </text>
    </comment>
    <comment ref="E113" authorId="0" shapeId="0" xr:uid="{5F4C7BC5-B17D-4A87-95CA-DBFC80CC7443}">
      <text>
        <r>
          <rPr>
            <b/>
            <sz val="9"/>
            <color indexed="81"/>
            <rFont val="Tahoma"/>
            <family val="2"/>
          </rPr>
          <t>anoop verma: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account</t>
        </r>
      </text>
    </comment>
    <comment ref="E114" authorId="0" shapeId="0" xr:uid="{6BF7488F-F49E-4F99-92C1-DCAFA9036C54}">
      <text>
        <r>
          <rPr>
            <b/>
            <sz val="9"/>
            <color indexed="81"/>
            <rFont val="Tahoma"/>
            <family val="2"/>
          </rPr>
          <t>anoop verma: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account</t>
        </r>
      </text>
    </comment>
    <comment ref="E115" authorId="0" shapeId="0" xr:uid="{BC74C6E5-EB09-4E79-91D8-F1C7EE0B5AC8}">
      <text>
        <r>
          <rPr>
            <b/>
            <sz val="9"/>
            <color indexed="81"/>
            <rFont val="Tahoma"/>
            <family val="2"/>
          </rPr>
          <t>anoop verma: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0"/>
            <color indexed="81"/>
            <rFont val="Tahoma"/>
            <family val="2"/>
          </rPr>
          <t>account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<sst xmlns="http://schemas.openxmlformats.org/spreadsheetml/2006/main" count="630" uniqueCount="75">
  <si>
    <t>ANU</t>
  </si>
  <si>
    <t>AMIT</t>
  </si>
  <si>
    <t>ANKUR</t>
  </si>
  <si>
    <t>SALARY</t>
  </si>
  <si>
    <t>total</t>
  </si>
  <si>
    <t xml:space="preserve">EMPLOYEE NAME </t>
  </si>
  <si>
    <t>DEPARTMENT</t>
  </si>
  <si>
    <t>NEWSALARY</t>
  </si>
  <si>
    <t>JANUMAN</t>
  </si>
  <si>
    <t>ANUJ</t>
  </si>
  <si>
    <t>ABHAYA</t>
  </si>
  <si>
    <t>ACCOUNT</t>
  </si>
  <si>
    <t>SALES</t>
  </si>
  <si>
    <t>PURCHASE</t>
  </si>
  <si>
    <t>ANKIT</t>
  </si>
  <si>
    <t>ABHU</t>
  </si>
  <si>
    <t>SAMIN</t>
  </si>
  <si>
    <t>SUMIT</t>
  </si>
  <si>
    <t>NEW SALARY</t>
  </si>
  <si>
    <t xml:space="preserve"> NAME OF CUSTOMER</t>
  </si>
  <si>
    <t>PRODUCT</t>
  </si>
  <si>
    <t>QTY</t>
  </si>
  <si>
    <t>RQTE</t>
  </si>
  <si>
    <t>TOTAL AMOUNT</t>
  </si>
  <si>
    <t>DISSCOUNT AMOUNT</t>
  </si>
  <si>
    <t>NET AMOUNT</t>
  </si>
  <si>
    <t>KSYBORAD</t>
  </si>
  <si>
    <t>MOUSE</t>
  </si>
  <si>
    <t>MONITOR</t>
  </si>
  <si>
    <t>MOUSE PED</t>
  </si>
  <si>
    <t>SPECIAL OFFERS</t>
  </si>
  <si>
    <t>DISSCOUNT</t>
  </si>
  <si>
    <t>wholesaler</t>
  </si>
  <si>
    <t>retailer</t>
  </si>
  <si>
    <t>customer</t>
  </si>
  <si>
    <t xml:space="preserve"> </t>
  </si>
  <si>
    <t>x</t>
  </si>
  <si>
    <t>Column1</t>
  </si>
  <si>
    <t>anoop</t>
  </si>
  <si>
    <t>SALES PURCHASE ACCOUNT SALES</t>
  </si>
  <si>
    <t>PURCHASE SALES PURCHASE ACCOUNT</t>
  </si>
  <si>
    <t>Column2</t>
  </si>
  <si>
    <t>mouse</t>
  </si>
  <si>
    <t>januman retailerMOUSE</t>
  </si>
  <si>
    <t>amit customerMONITOR</t>
  </si>
  <si>
    <t>anu wholesalerMOUSE PED</t>
  </si>
  <si>
    <t>anuj retailerKSYBORAD</t>
  </si>
  <si>
    <t>ankur customerMOUSE</t>
  </si>
  <si>
    <t>abhaya wholesalerMONITOR</t>
  </si>
  <si>
    <t>ankit retailerMOUSE PED</t>
  </si>
  <si>
    <t>abhu customerKSYBORAD</t>
  </si>
  <si>
    <t>samin wholesalerMOUSE</t>
  </si>
  <si>
    <t>name full</t>
  </si>
  <si>
    <t>januman</t>
  </si>
  <si>
    <t>amit</t>
  </si>
  <si>
    <t>anu</t>
  </si>
  <si>
    <t>anuj</t>
  </si>
  <si>
    <t>ankur</t>
  </si>
  <si>
    <t>abhaya</t>
  </si>
  <si>
    <t>ankit</t>
  </si>
  <si>
    <t>abhu</t>
  </si>
  <si>
    <t>samin</t>
  </si>
  <si>
    <t>ankur wholesalermouse</t>
  </si>
  <si>
    <t>JANUMAN,</t>
  </si>
  <si>
    <t>AMIT,</t>
  </si>
  <si>
    <t>wholesaler,</t>
  </si>
  <si>
    <t>retailer,</t>
  </si>
  <si>
    <t>customer,</t>
  </si>
  <si>
    <t>wholesa,ler</t>
  </si>
  <si>
    <t>SNO</t>
  </si>
  <si>
    <t>SR</t>
  </si>
  <si>
    <t>a</t>
  </si>
  <si>
    <t>sagar</t>
  </si>
  <si>
    <t>suraj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</si>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</sst>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Arial Black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Aptos"/>
      <family val="2"/>
    </font>
    <font>
      <i/>
      <sz val="11"/>
      <color rgb="FF002060"/>
      <name val="Aptos"/>
      <family val="2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i/>
      <sz val="12"/>
      <color theme="4" tint="0.39997558519241921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0" fillId="2" borderId="0" xfId="0" applyFill="1"/>
    <xf numFmtId="9" fontId="0" fillId="0" borderId="0" xfId="0" applyNumberFormat="1"/>
    <xf numFmtId="0" fontId="3" fillId="0" borderId="0" xfId="0" applyFont="1"/>
    <xf numFmtId="0" fontId="4" fillId="0" borderId="0" xfId="0" applyFont="1"/>
    <xf numFmtId="0" fontId="6" fillId="2" borderId="1" xfId="0" applyFont="1" applyFill="1" applyBorder="1"/>
    <xf numFmtId="0" fontId="0" fillId="2" borderId="1" xfId="0" applyFill="1" applyBorder="1"/>
    <xf numFmtId="0" fontId="6" fillId="0" borderId="1" xfId="0" applyFont="1" applyBorder="1"/>
    <xf numFmtId="0" fontId="0" fillId="0" borderId="1" xfId="0" applyBorder="1"/>
    <xf numFmtId="0" fontId="5" fillId="0" borderId="1" xfId="0" applyFont="1" applyBorder="1"/>
    <xf numFmtId="0" fontId="7" fillId="3" borderId="1" xfId="0" applyFont="1" applyFill="1" applyBorder="1"/>
    <xf numFmtId="0" fontId="0" fillId="2" borderId="0" xfId="0" applyFill="1" applyAlignment="1">
      <alignment wrapText="1"/>
    </xf>
    <xf numFmtId="0" fontId="0" fillId="0" borderId="0" xfId="0" applyAlignment="1">
      <alignment horizontal="center" shrinkToFit="1"/>
    </xf>
    <xf numFmtId="0" fontId="0" fillId="2" borderId="0" xfId="0" applyFill="1" applyAlignment="1">
      <alignment shrinkToFit="1"/>
    </xf>
    <xf numFmtId="164" fontId="0" fillId="0" borderId="0" xfId="1" applyNumberFormat="1" applyFont="1"/>
    <xf numFmtId="0" fontId="0" fillId="0" borderId="0" xfId="0" applyProtection="1">
      <protection locked="0"/>
    </xf>
    <xf numFmtId="0" fontId="6" fillId="0" borderId="3" xfId="0" applyFont="1" applyBorder="1"/>
    <xf numFmtId="0" fontId="6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7" fillId="2" borderId="5" xfId="0" applyFont="1" applyFill="1" applyBorder="1"/>
    <xf numFmtId="0" fontId="0" fillId="5" borderId="0" xfId="0" applyFill="1"/>
    <xf numFmtId="0" fontId="9" fillId="0" borderId="0" xfId="0" applyFont="1"/>
    <xf numFmtId="0" fontId="9" fillId="4" borderId="2" xfId="0" applyFont="1" applyFill="1" applyBorder="1"/>
    <xf numFmtId="0" fontId="9" fillId="0" borderId="2" xfId="0" applyFont="1" applyBorder="1"/>
    <xf numFmtId="0" fontId="0" fillId="6" borderId="0" xfId="0" applyFill="1"/>
    <xf numFmtId="0" fontId="9" fillId="7" borderId="2" xfId="0" applyFont="1" applyFill="1" applyBorder="1"/>
    <xf numFmtId="0" fontId="0" fillId="6" borderId="7" xfId="0" applyFill="1" applyBorder="1"/>
    <xf numFmtId="0" fontId="6" fillId="6" borderId="1" xfId="0" applyFont="1" applyFill="1" applyBorder="1"/>
    <xf numFmtId="44" fontId="0" fillId="0" borderId="0" xfId="2" applyFont="1"/>
    <xf numFmtId="0" fontId="0" fillId="8" borderId="0" xfId="0" applyFill="1"/>
    <xf numFmtId="0" fontId="0" fillId="4" borderId="2" xfId="0" applyFill="1" applyBorder="1"/>
    <xf numFmtId="0" fontId="0" fillId="0" borderId="2" xfId="0" applyBorder="1"/>
    <xf numFmtId="0" fontId="0" fillId="6" borderId="2" xfId="0" applyFill="1" applyBorder="1"/>
    <xf numFmtId="44" fontId="0" fillId="4" borderId="2" xfId="2" applyFont="1" applyFill="1" applyBorder="1"/>
    <xf numFmtId="0" fontId="9" fillId="6" borderId="2" xfId="0" applyFont="1" applyFill="1" applyBorder="1"/>
    <xf numFmtId="0" fontId="0" fillId="2" borderId="2" xfId="0" applyFill="1" applyBorder="1"/>
    <xf numFmtId="44" fontId="0" fillId="0" borderId="2" xfId="2" applyFont="1" applyBorder="1"/>
    <xf numFmtId="0" fontId="12" fillId="8" borderId="0" xfId="0" applyFont="1" applyFill="1"/>
    <xf numFmtId="0" fontId="12" fillId="0" borderId="0" xfId="0" applyFont="1"/>
    <xf numFmtId="44" fontId="0" fillId="2" borderId="0" xfId="2" applyFont="1" applyFill="1"/>
    <xf numFmtId="0" fontId="9" fillId="8" borderId="0" xfId="0" applyFont="1" applyFill="1"/>
    <xf numFmtId="44" fontId="0" fillId="0" borderId="0" xfId="0" applyNumberFormat="1"/>
    <xf numFmtId="0" fontId="0" fillId="8" borderId="2" xfId="0" applyFill="1" applyBorder="1"/>
    <xf numFmtId="0" fontId="9" fillId="8" borderId="2" xfId="0" applyFont="1" applyFill="1" applyBorder="1"/>
    <xf numFmtId="0" fontId="0" fillId="4" borderId="0" xfId="0" applyFill="1"/>
    <xf numFmtId="44" fontId="0" fillId="4" borderId="0" xfId="2" applyFont="1" applyFill="1" applyBorder="1"/>
    <xf numFmtId="44" fontId="0" fillId="0" borderId="0" xfId="2" applyFont="1" applyBorder="1"/>
    <xf numFmtId="0" fontId="9" fillId="4" borderId="0" xfId="0" applyFont="1" applyFill="1"/>
    <xf numFmtId="44" fontId="2" fillId="0" borderId="2" xfId="2" applyFont="1" applyBorder="1"/>
    <xf numFmtId="0" fontId="16" fillId="4" borderId="2" xfId="3" applyFill="1" applyBorder="1"/>
    <xf numFmtId="0" fontId="16" fillId="0" borderId="2" xfId="3" applyBorder="1"/>
    <xf numFmtId="0" fontId="16" fillId="0" borderId="0" xfId="3"/>
    <xf numFmtId="0" fontId="17" fillId="0" borderId="8" xfId="0" applyFont="1" applyBorder="1"/>
    <xf numFmtId="44" fontId="17" fillId="0" borderId="2" xfId="2" applyFont="1" applyBorder="1"/>
    <xf numFmtId="0" fontId="17" fillId="0" borderId="2" xfId="0" applyFont="1" applyBorder="1"/>
    <xf numFmtId="0" fontId="18" fillId="0" borderId="2" xfId="0" applyFont="1" applyBorder="1"/>
    <xf numFmtId="0" fontId="17" fillId="4" borderId="8" xfId="0" applyFont="1" applyFill="1" applyBorder="1"/>
    <xf numFmtId="44" fontId="17" fillId="4" borderId="2" xfId="2" applyFont="1" applyFill="1" applyBorder="1"/>
    <xf numFmtId="0" fontId="17" fillId="4" borderId="2" xfId="0" applyFont="1" applyFill="1" applyBorder="1"/>
    <xf numFmtId="0" fontId="18" fillId="4" borderId="2" xfId="0" applyFont="1" applyFill="1" applyBorder="1"/>
    <xf numFmtId="0" fontId="17" fillId="0" borderId="0" xfId="0" applyFont="1"/>
    <xf numFmtId="0" fontId="17" fillId="0" borderId="11" xfId="0" applyFont="1" applyBorder="1"/>
    <xf numFmtId="44" fontId="17" fillId="0" borderId="12" xfId="2" applyFont="1" applyBorder="1"/>
    <xf numFmtId="0" fontId="17" fillId="0" borderId="12" xfId="0" applyFont="1" applyBorder="1"/>
    <xf numFmtId="0" fontId="18" fillId="0" borderId="12" xfId="0" applyFont="1" applyBorder="1"/>
    <xf numFmtId="0" fontId="17" fillId="9" borderId="9" xfId="0" applyFont="1" applyFill="1" applyBorder="1"/>
    <xf numFmtId="44" fontId="17" fillId="10" borderId="10" xfId="2" applyFont="1" applyFill="1" applyBorder="1"/>
    <xf numFmtId="0" fontId="17" fillId="10" borderId="10" xfId="0" applyFont="1" applyFill="1" applyBorder="1"/>
    <xf numFmtId="0" fontId="18" fillId="9" borderId="10" xfId="0" applyFont="1" applyFill="1" applyBorder="1"/>
    <xf numFmtId="0" fontId="19" fillId="9" borderId="2" xfId="0" applyFont="1" applyFill="1" applyBorder="1"/>
    <xf numFmtId="44" fontId="19" fillId="10" borderId="2" xfId="2" applyNumberFormat="1" applyFont="1" applyFill="1" applyBorder="1"/>
    <xf numFmtId="0" fontId="19" fillId="10" borderId="2" xfId="0" applyFont="1" applyFill="1" applyBorder="1"/>
    <xf numFmtId="44" fontId="17" fillId="0" borderId="2" xfId="2" applyNumberFormat="1" applyFont="1" applyBorder="1"/>
    <xf numFmtId="44" fontId="17" fillId="4" borderId="2" xfId="2" applyNumberFormat="1" applyFont="1" applyFill="1" applyBorder="1"/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19">
    <dxf>
      <font>
        <strike val="0"/>
        <outline val="0"/>
        <shadow val="0"/>
        <u val="none"/>
        <vertAlign val="baseline"/>
        <color theme="4" tint="0.39997558519241921"/>
        <name val="Calibri"/>
        <family val="2"/>
        <scheme val="minor"/>
      </font>
      <fill>
        <patternFill patternType="solid">
          <bgColor theme="5" tint="0.39997558519241921"/>
        </patternFill>
      </fill>
    </dxf>
    <dxf>
      <font>
        <strike val="0"/>
        <outline val="0"/>
        <shadow val="0"/>
        <u val="none"/>
        <vertAlign val="baseline"/>
        <color theme="4" tint="0.3999755851924192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4" tint="0.3999755851924192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0.39997558519241921"/>
        <name val="Calibri"/>
        <family val="2"/>
        <scheme val="minor"/>
      </font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0.39997558519241921"/>
        <name val="Calibri"/>
        <family val="2"/>
        <scheme val="minor"/>
      </font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0.39997558519241921"/>
        <name val="Calibri"/>
        <family val="2"/>
        <scheme val="minor"/>
      </font>
      <border diagonalUp="0" diagonalDown="0" outline="0">
        <left/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bottom style="thin">
          <color theme="4"/>
        </bottom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Aptos"/>
        <family val="2"/>
        <scheme val="none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1882140</xdr:colOff>
      <xdr:row>11</xdr:row>
      <xdr:rowOff>38100</xdr:rowOff>
    </xdr:from>
    <xdr:to>
      <xdr:col>10</xdr:col>
      <xdr:colOff>213360</xdr:colOff>
      <xdr:row>12</xdr:row>
      <xdr:rowOff>175260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71ECDFC-E904-FF22-64B5-A52EBEC458C4}"/>
            </a:ext>
          </a:extLst>
        </xdr:cNvPr>
        <xdr:cNvCxnSpPr/>
      </xdr:nvCxnSpPr>
      <xdr:spPr>
        <a:xfrm>
          <a:off x="4480560" y="2202180"/>
          <a:ext cx="5280660" cy="3200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205740</xdr:colOff>
      <xdr:row>11</xdr:row>
      <xdr:rowOff>160020</xdr:rowOff>
    </xdr:from>
    <xdr:to>
      <xdr:col>4</xdr:col>
      <xdr:colOff>815341</xdr:colOff>
      <xdr:row>14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CEA41E-87D7-1F35-C43C-7F849807298D}"/>
            </a:ext>
          </a:extLst>
        </xdr:cNvPr>
        <xdr:cNvSpPr txBox="1"/>
      </xdr:nvSpPr>
      <xdr:spPr>
        <a:xfrm>
          <a:off x="1424940" y="2324100"/>
          <a:ext cx="1988821" cy="426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 i="1" u="sng"/>
            <a:t>tcs company</a:t>
          </a:r>
        </a:p>
      </xdr:txBody>
    </xdr:sp>
    <xdr:clientData/>
  </xdr:twoCellAnchor>
  <xdr:twoCellAnchor>
    <xdr:from>
      <xdr:col>4</xdr:col>
      <xdr:colOff>1082040</xdr:colOff>
      <xdr:row>11</xdr:row>
      <xdr:rowOff>15240</xdr:rowOff>
    </xdr:from>
    <xdr:to>
      <xdr:col>6</xdr:col>
      <xdr:colOff>381001</xdr:colOff>
      <xdr:row>13</xdr:row>
      <xdr:rowOff>76200</xdr:rowOff>
    </xdr:to>
    <xdr:sp macro="" textlink="$H$11">
      <xdr:nvSpPr>
        <xdr:cNvPr id="3" name="TextBox 2">
          <a:extLst>
            <a:ext uri="{FF2B5EF4-FFF2-40B4-BE49-F238E27FC236}">
              <a16:creationId xmlns:a16="http://schemas.microsoft.com/office/drawing/2014/main" id="{D23B1702-78E4-5CD2-9227-F532E4AFAB90}"/>
            </a:ext>
          </a:extLst>
        </xdr:cNvPr>
        <xdr:cNvSpPr txBox="1"/>
      </xdr:nvSpPr>
      <xdr:spPr>
        <a:xfrm>
          <a:off x="3680460" y="2179320"/>
          <a:ext cx="1988821" cy="426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526F740-0C75-4454-B036-3183BCE8605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₹ 2,55,643.00 </a:t>
          </a:fld>
          <a:endParaRPr lang="en-IN" sz="2400" b="1" i="1" u="sng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7620</xdr:rowOff>
    </xdr:from>
    <xdr:to>
      <xdr:col>18</xdr:col>
      <xdr:colOff>0</xdr:colOff>
      <xdr:row>31</xdr:row>
      <xdr:rowOff>21652</xdr:rowOff>
    </xdr:to>
    <xdr:pic>
      <xdr:nvPicPr>
        <xdr:cNvPr id="3" name="Picture 2" descr="Child writing on paper">
          <a:extLst>
            <a:ext uri="{FF2B5EF4-FFF2-40B4-BE49-F238E27FC236}">
              <a16:creationId xmlns:a16="http://schemas.microsoft.com/office/drawing/2014/main" id="{5F448952-D3C3-61A9-C764-D78B504E8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1653540"/>
          <a:ext cx="7315200" cy="40373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B9A38-E21B-42EA-B2DD-CCD5B438DE53}" name="Table1" displayName="Table1" ref="A1:D10" totalsRowShown="0" headerRowDxfId="0" dataDxfId="1" headerRowBorderDxfId="6" tableBorderDxfId="7">
  <autoFilter ref="A1:D10" xr:uid="{376B9A38-E21B-42EA-B2DD-CCD5B438DE53}"/>
  <tableColumns count="4">
    <tableColumn id="1" xr3:uid="{E53EC54B-6E1E-44D0-B1FC-6E26E197871E}" name="ankur" dataDxfId="5"/>
    <tableColumn id="2" xr3:uid="{54E954E9-9132-406C-BF37-73FB27471AF1}" name="wholesaler," dataDxfId="4" dataCellStyle="Currency"/>
    <tableColumn id="3" xr3:uid="{2456D80E-7F85-4A26-959D-077AC9F4E50D}" name="mouse" dataDxfId="3"/>
    <tableColumn id="4" xr3:uid="{712344F9-6954-4637-AB54-775453C8AEE9}" name="ankur wholesalermous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F870D0-8491-4D8F-8B82-0EF4B7602B40}" name="Table35" displayName="Table35" ref="G18:O40" totalsRowShown="0" headerRowDxfId="18">
  <autoFilter ref="G18:O40" xr:uid="{DDF870D0-8491-4D8F-8B82-0EF4B7602B40}"/>
  <sortState xmlns:xlrd2="http://schemas.microsoft.com/office/spreadsheetml/2017/richdata2" ref="G19:O40">
    <sortCondition ref="H30:H40"/>
  </sortState>
  <tableColumns count="9">
    <tableColumn id="1" xr3:uid="{9E2985CA-B35F-40D5-B019-2F786B1710C9}" name="SNO"/>
    <tableColumn id="2" xr3:uid="{1F3F635B-404F-4AEA-B8D7-F65A9BA38387}" name=" NAME OF CUSTOMER"/>
    <tableColumn id="3" xr3:uid="{A77CE3BA-B745-4FF3-B2B3-42655178E8C0}" name="KSYBORAD"/>
    <tableColumn id="4" xr3:uid="{31479163-C388-4B4D-959D-7991B1AFDDA4}" name="PRODUCT"/>
    <tableColumn id="5" xr3:uid="{C687C3FF-93C9-4D52-AB82-CABAC66F2E32}" name="QTY"/>
    <tableColumn id="6" xr3:uid="{64B9C9C8-C2DA-4552-A81E-1D9B7FBCB20F}" name="RQTE"/>
    <tableColumn id="7" xr3:uid="{79A88B8C-BEE4-416F-BEA2-62ED6E33FF5A}" name="TOTAL AMOUNT">
      <calculatedColumnFormula>K19*L19</calculatedColumnFormula>
    </tableColumn>
    <tableColumn id="8" xr3:uid="{22963929-3821-4955-BAE6-876EF8DDDBDE}" name="DISSCOUNT AMOUNT">
      <calculatedColumnFormula>IF(K19&gt;=100,M19*25%,IF(K19&gt;=50,M19*15%,IF(K19&gt;=30,M19*5%,IF(K19&gt;=20,M19*0%))))</calculatedColumnFormula>
    </tableColumn>
    <tableColumn id="9" xr3:uid="{0272CC6A-EF42-4F30-BB0E-BC66C2D6B0C0}" name="Column1">
      <calculatedColumnFormula>IF(I19="wholesaler",M19*30%,IF(I19="retailer",M19*20%,IF(I19="customer",M19*10%)))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0439FF-48AD-4C77-8CE3-7E0721FB0543}" name="Table6" displayName="Table6" ref="A1:G11" totalsRowShown="0" headerRowDxfId="17" headerRowBorderDxfId="16" tableBorderDxfId="15" totalsRowBorderDxfId="14">
  <autoFilter ref="A1:G11" xr:uid="{BB0439FF-48AD-4C77-8CE3-7E0721FB0543}"/>
  <sortState xmlns:xlrd2="http://schemas.microsoft.com/office/spreadsheetml/2017/richdata2" ref="A2:F11">
    <sortCondition descending="1" ref="D2:D11"/>
    <sortCondition sortBy="fontColor" ref="B2:B11" dxfId="13"/>
  </sortState>
  <tableColumns count="7">
    <tableColumn id="1" xr3:uid="{44EF01C5-7B47-4AE3-909F-C366297AD164}" name="SR" dataDxfId="12"/>
    <tableColumn id="2" xr3:uid="{C54EF02B-E82F-4D44-9D19-4CA3B3AB5710}" name="EMPLOYEE NAME "/>
    <tableColumn id="3" xr3:uid="{D216C088-6202-46E9-8ADD-AF29F449DC7B}" name="DEPARTMENT"/>
    <tableColumn id="4" xr3:uid="{4C938539-27D7-4BF4-BB75-74764E641705}" name="SALARY"/>
    <tableColumn id="5" xr3:uid="{A98B604A-AE9A-4EFE-B208-3D22D1BEDAFD}" name="NEWSALARY"/>
    <tableColumn id="6" xr3:uid="{979B9449-5BF6-4681-A963-EEB0090A2492}" name="NEW SALARY">
      <calculatedColumnFormula>IF(C2="ACCOUNT",D2+10000,IF(C2="SALES",D2+500,IF(C2="PURCHASE",D2+100)))</calculatedColumnFormula>
    </tableColumn>
    <tableColumn id="7" xr3:uid="{9FF17FC2-F22F-46AE-A811-D70A834722C1}" name="total" dataDxfId="11">
      <calculatedColumnFormula array="1">sum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267497-35D1-419A-BAB0-B69FE988072A}" name="Table2" displayName="Table2" ref="L5:L6" totalsRowShown="0">
  <autoFilter ref="L5:L6" xr:uid="{41267497-35D1-419A-BAB0-B69FE988072A}"/>
  <tableColumns count="1">
    <tableColumn id="1" xr3:uid="{B4C41880-34EF-44EB-A46E-12B6A51BBE27}" name="Column1">
      <calculatedColumnFormula>H5-J5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6979F0-3FB2-490D-B341-C575EC1795BE}" name="Table3" displayName="Table3" ref="A1:K11" totalsRowShown="0" headerRowDxfId="10">
  <autoFilter ref="A1:K11" xr:uid="{2F6979F0-3FB2-490D-B341-C575EC1795BE}"/>
  <tableColumns count="11">
    <tableColumn id="1" xr3:uid="{E128D694-BFD0-45D8-8DF5-2F66E428DAE7}" name="SNO"/>
    <tableColumn id="2" xr3:uid="{962389DA-ECE0-4382-83A4-9CA213CD7505}" name=" NAME OF CUSTOMER"/>
    <tableColumn id="3" xr3:uid="{FCCC3F56-FCD7-412F-983E-F343AE4E5383}" name="KSYBORAD" dataCellStyle="Currency"/>
    <tableColumn id="4" xr3:uid="{1C41421A-CD26-4083-865C-8558D0955E79}" name="PRODUCT"/>
    <tableColumn id="11" xr3:uid="{04D09A8E-9C81-4827-A116-658B0138535B}" name="Column2" dataDxfId="9"/>
    <tableColumn id="5" xr3:uid="{E2452A58-3F67-4F5C-B674-BC7DC7D8B42F}" name="QTY"/>
    <tableColumn id="6" xr3:uid="{13F5A92E-5438-494E-8B0C-243291B9488B}" name="RQTE"/>
    <tableColumn id="7" xr3:uid="{4E0E2D1D-5F69-4153-B25F-8E3D66CC0EAD}" name="TOTAL AMOUNT" dataCellStyle="Currency">
      <calculatedColumnFormula>F2*G2</calculatedColumnFormula>
    </tableColumn>
    <tableColumn id="10" xr3:uid="{CE3890E1-F4A8-45D5-A69D-33427F44008F}" name="total" dataDxfId="8">
      <calculatedColumnFormula>SUM(Table3[[#This Row],[QTY]:[TOTAL AMOUNT]])</calculatedColumnFormula>
    </tableColumn>
    <tableColumn id="8" xr3:uid="{A29AD36A-485B-49D8-8D11-D3CF4D53ACC4}" name="DISSCOUNT AMOUNT">
      <calculatedColumnFormula>IF(F2&gt;=100,H2*25%,IF(F2&gt;=50,H2*15%,IF(F2&gt;=30,H2*5%,IF(F2&gt;=20,H2*0%))))</calculatedColumnFormula>
    </tableColumn>
    <tableColumn id="9" xr3:uid="{BF099E34-EA6C-4863-B59A-D68D376A9FF6}" name="Column1">
      <calculatedColumnFormula>IF(C2="wholesaler",H2*30%,IF(C2="retailer",H2*20%,IF(C2="customer",H2*10%)))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D04752-3629-47B1-9B63-B2F0894D4A60}" name="Table5" displayName="Table5" ref="G24:G25" insertRow="1" totalsRowShown="0">
  <autoFilter ref="G24:G25" xr:uid="{65D04752-3629-47B1-9B63-B2F0894D4A60}"/>
  <tableColumns count="1">
    <tableColumn id="1" xr3:uid="{BA5FCAC1-D1DF-41B8-8601-4871120792A0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1%20resume.doc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6" Type="http://schemas.openxmlformats.org/officeDocument/2006/relationships/comments" Target="../comments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8403-9BD0-42F1-8DCD-2C4C13FA3B70}">
  <sheetPr>
    <tabColor theme="4" tint="-0.249977111117893"/>
  </sheetPr>
  <dimension ref="A1:J15"/>
  <sheetViews>
    <sheetView workbookViewId="0">
      <selection activeCell="D8" sqref="D8"/>
    </sheetView>
  </sheetViews>
  <sheetFormatPr defaultRowHeight="14.4" x14ac:dyDescent="0.3"/>
  <cols>
    <col min="2" max="2" width="19.33203125" bestFit="1" customWidth="1"/>
  </cols>
  <sheetData>
    <row r="1" spans="1:10" x14ac:dyDescent="0.3">
      <c r="A1" t="s">
        <v>71</v>
      </c>
      <c r="B1" t="s">
        <v>71</v>
      </c>
      <c r="C1" t="s">
        <v>71</v>
      </c>
      <c r="D1" t="s">
        <v>71</v>
      </c>
      <c r="E1" t="s">
        <v>71</v>
      </c>
    </row>
    <row r="2" spans="1:10" x14ac:dyDescent="0.3">
      <c r="A2" t="s">
        <v>71</v>
      </c>
      <c r="B2" t="s">
        <v>71</v>
      </c>
      <c r="C2" t="s">
        <v>71</v>
      </c>
      <c r="D2" t="s">
        <v>71</v>
      </c>
      <c r="E2" t="s">
        <v>71</v>
      </c>
      <c r="J2" t="s">
        <v>71</v>
      </c>
    </row>
    <row r="3" spans="1:10" x14ac:dyDescent="0.3">
      <c r="A3" t="s">
        <v>71</v>
      </c>
      <c r="B3" t="s">
        <v>71</v>
      </c>
      <c r="C3" t="s">
        <v>71</v>
      </c>
      <c r="D3" t="s">
        <v>71</v>
      </c>
      <c r="E3" t="s">
        <v>71</v>
      </c>
    </row>
    <row r="4" spans="1:10" x14ac:dyDescent="0.3">
      <c r="A4" t="s">
        <v>71</v>
      </c>
      <c r="B4" t="s">
        <v>71</v>
      </c>
      <c r="C4" t="s">
        <v>71</v>
      </c>
      <c r="D4" t="s">
        <v>71</v>
      </c>
      <c r="E4" t="s">
        <v>71</v>
      </c>
    </row>
    <row r="5" spans="1:10" x14ac:dyDescent="0.3">
      <c r="A5" t="s">
        <v>71</v>
      </c>
      <c r="B5" t="s">
        <v>71</v>
      </c>
      <c r="C5" t="s">
        <v>71</v>
      </c>
      <c r="D5" t="s">
        <v>71</v>
      </c>
      <c r="E5" t="s">
        <v>71</v>
      </c>
    </row>
    <row r="6" spans="1:10" x14ac:dyDescent="0.3">
      <c r="A6" t="s">
        <v>71</v>
      </c>
      <c r="B6" t="s">
        <v>71</v>
      </c>
      <c r="C6" t="s">
        <v>71</v>
      </c>
      <c r="D6" t="s">
        <v>71</v>
      </c>
      <c r="E6" t="s">
        <v>71</v>
      </c>
    </row>
    <row r="7" spans="1:10" x14ac:dyDescent="0.3">
      <c r="A7" t="s">
        <v>71</v>
      </c>
      <c r="B7" t="s">
        <v>71</v>
      </c>
      <c r="C7" t="s">
        <v>71</v>
      </c>
      <c r="D7" t="s">
        <v>71</v>
      </c>
      <c r="E7" t="s">
        <v>71</v>
      </c>
    </row>
    <row r="8" spans="1:10" x14ac:dyDescent="0.3">
      <c r="A8" t="s">
        <v>71</v>
      </c>
      <c r="B8" t="s">
        <v>71</v>
      </c>
      <c r="C8" t="s">
        <v>71</v>
      </c>
      <c r="D8" t="s">
        <v>71</v>
      </c>
      <c r="E8" t="s">
        <v>71</v>
      </c>
    </row>
    <row r="9" spans="1:10" x14ac:dyDescent="0.3">
      <c r="A9" t="s">
        <v>71</v>
      </c>
      <c r="B9" t="s">
        <v>71</v>
      </c>
      <c r="C9" t="s">
        <v>71</v>
      </c>
      <c r="D9" t="s">
        <v>71</v>
      </c>
      <c r="E9" t="s">
        <v>71</v>
      </c>
    </row>
    <row r="10" spans="1:10" x14ac:dyDescent="0.3">
      <c r="A10" t="s">
        <v>71</v>
      </c>
      <c r="B10" t="s">
        <v>71</v>
      </c>
      <c r="C10" t="s">
        <v>71</v>
      </c>
      <c r="D10" t="s">
        <v>71</v>
      </c>
      <c r="E10" t="s">
        <v>71</v>
      </c>
    </row>
    <row r="11" spans="1:10" x14ac:dyDescent="0.3">
      <c r="A11" t="s">
        <v>71</v>
      </c>
      <c r="B11" t="s">
        <v>71</v>
      </c>
      <c r="C11" t="s">
        <v>71</v>
      </c>
      <c r="D11" t="s">
        <v>71</v>
      </c>
      <c r="E11" t="s">
        <v>71</v>
      </c>
    </row>
    <row r="12" spans="1:10" x14ac:dyDescent="0.3">
      <c r="A12" t="s">
        <v>71</v>
      </c>
      <c r="B12" t="s">
        <v>71</v>
      </c>
      <c r="C12" t="s">
        <v>71</v>
      </c>
      <c r="D12" t="s">
        <v>71</v>
      </c>
      <c r="E12" t="s">
        <v>71</v>
      </c>
    </row>
    <row r="15" spans="1:10" x14ac:dyDescent="0.3">
      <c r="I15" s="16"/>
    </row>
  </sheetData>
  <sortState xmlns:xlrd2="http://schemas.microsoft.com/office/spreadsheetml/2017/richdata2" ref="A1:B12">
    <sortCondition ref="A1:A1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0DE2-68AC-4333-B882-F39ECE332F8C}">
  <sheetPr>
    <tabColor theme="4" tint="-0.249977111117893"/>
  </sheetPr>
  <dimension ref="G16:Q16"/>
  <sheetViews>
    <sheetView topLeftCell="B1" workbookViewId="0">
      <selection activeCell="G16" sqref="G16:Q16"/>
    </sheetView>
  </sheetViews>
  <sheetFormatPr defaultRowHeight="14.4" x14ac:dyDescent="0.3"/>
  <cols>
    <col min="1" max="1" width="21" customWidth="1"/>
    <col min="2" max="2" width="19.33203125" customWidth="1"/>
    <col min="3" max="3" width="12" customWidth="1"/>
    <col min="4" max="4" width="24.88671875" bestFit="1" customWidth="1"/>
    <col min="6" max="6" width="16.44140625" customWidth="1"/>
    <col min="7" max="7" width="29.21875" bestFit="1" customWidth="1"/>
    <col min="8" max="8" width="20.77734375" customWidth="1"/>
    <col min="9" max="9" width="19.109375" customWidth="1"/>
    <col min="10" max="10" width="12.5546875" bestFit="1" customWidth="1"/>
    <col min="11" max="11" width="9.5546875" bestFit="1" customWidth="1"/>
  </cols>
  <sheetData>
    <row r="16" spans="7:17" x14ac:dyDescent="0.3">
      <c r="G16" s="12" t="s">
        <v>19</v>
      </c>
      <c r="H16" t="s">
        <v>26</v>
      </c>
      <c r="I16" s="2" t="s">
        <v>20</v>
      </c>
      <c r="J16" s="2" t="s">
        <v>41</v>
      </c>
      <c r="K16" s="2" t="s">
        <v>21</v>
      </c>
      <c r="L16" s="2" t="s">
        <v>22</v>
      </c>
      <c r="M16" s="41" t="s">
        <v>23</v>
      </c>
      <c r="N16" s="2" t="s">
        <v>4</v>
      </c>
      <c r="O16" s="14" t="s">
        <v>24</v>
      </c>
      <c r="P16" s="2" t="s">
        <v>37</v>
      </c>
      <c r="Q16" s="2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868B-48B7-4385-ABEC-6004B7F95AD3}">
  <sheetPr>
    <tabColor theme="4" tint="-0.249977111117893"/>
  </sheetPr>
  <dimension ref="A1:N22"/>
  <sheetViews>
    <sheetView topLeftCell="B1" workbookViewId="0">
      <selection activeCell="H8" sqref="H8"/>
    </sheetView>
  </sheetViews>
  <sheetFormatPr defaultRowHeight="14.4" x14ac:dyDescent="0.3"/>
  <cols>
    <col min="6" max="7" width="0" hidden="1" customWidth="1"/>
  </cols>
  <sheetData>
    <row r="1" spans="1:14" ht="15.6" x14ac:dyDescent="0.3">
      <c r="A1" s="32">
        <v>1</v>
      </c>
      <c r="B1" s="34" t="s">
        <v>57</v>
      </c>
      <c r="C1" s="35" t="s">
        <v>65</v>
      </c>
      <c r="D1" s="32" t="s">
        <v>42</v>
      </c>
      <c r="E1" s="36" t="s">
        <v>62</v>
      </c>
      <c r="F1" s="32">
        <v>122</v>
      </c>
      <c r="G1" s="32">
        <v>560</v>
      </c>
      <c r="H1" s="32">
        <f t="shared" ref="H1:H10" si="0">F1*G1</f>
        <v>68320</v>
      </c>
      <c r="I1" s="37"/>
      <c r="J1" s="32">
        <f t="shared" ref="J1:J6" si="1">IF(F1&gt;=100,H1*25%,IF(F1&gt;=50,H1*15%,IF(F1&gt;=30,H1*5%,IF(F1&gt;=20,H1*0%))))</f>
        <v>17080</v>
      </c>
      <c r="K1" s="32" t="b">
        <f t="shared" ref="K1:K10" si="2">IF(C1="wholesaler",H1*30%,IF(C1="retailer",H1*20%,IF(C1="customer",H1*10%)))</f>
        <v>0</v>
      </c>
    </row>
    <row r="2" spans="1:14" ht="15.6" x14ac:dyDescent="0.3">
      <c r="A2" s="33">
        <v>2</v>
      </c>
      <c r="B2" s="33" t="s">
        <v>63</v>
      </c>
      <c r="C2" s="38" t="s">
        <v>66</v>
      </c>
      <c r="D2" s="33" t="s">
        <v>27</v>
      </c>
      <c r="E2" s="25" t="s">
        <v>43</v>
      </c>
      <c r="F2" s="33">
        <v>122</v>
      </c>
      <c r="G2" s="33">
        <v>300</v>
      </c>
      <c r="H2" s="33">
        <f t="shared" si="0"/>
        <v>36600</v>
      </c>
      <c r="I2" t="s">
        <v>71</v>
      </c>
      <c r="J2" s="33">
        <f t="shared" si="1"/>
        <v>9150</v>
      </c>
      <c r="K2" s="33" t="b">
        <f t="shared" si="2"/>
        <v>0</v>
      </c>
      <c r="M2" t="s">
        <v>71</v>
      </c>
    </row>
    <row r="3" spans="1:14" ht="15.6" x14ac:dyDescent="0.3">
      <c r="A3" s="32">
        <v>3</v>
      </c>
      <c r="B3" s="32" t="s">
        <v>64</v>
      </c>
      <c r="C3" s="35" t="s">
        <v>67</v>
      </c>
      <c r="D3" s="32" t="s">
        <v>28</v>
      </c>
      <c r="E3" s="24" t="s">
        <v>44</v>
      </c>
      <c r="F3" s="32">
        <v>33</v>
      </c>
      <c r="G3" s="32">
        <v>233</v>
      </c>
      <c r="H3" t="s">
        <v>71</v>
      </c>
      <c r="I3" t="s">
        <v>71</v>
      </c>
      <c r="J3" s="32" t="e">
        <f t="shared" si="1"/>
        <v>#VALUE!</v>
      </c>
      <c r="K3" s="32" t="b">
        <f t="shared" si="2"/>
        <v>0</v>
      </c>
    </row>
    <row r="4" spans="1:14" ht="15.6" x14ac:dyDescent="0.3">
      <c r="A4" s="33">
        <v>4</v>
      </c>
      <c r="B4" s="33" t="s">
        <v>0</v>
      </c>
      <c r="C4" s="38" t="s">
        <v>65</v>
      </c>
      <c r="D4" s="33" t="s">
        <v>29</v>
      </c>
      <c r="E4" s="25" t="s">
        <v>45</v>
      </c>
      <c r="F4" s="33">
        <v>43</v>
      </c>
      <c r="G4" s="33">
        <v>433</v>
      </c>
      <c r="H4" s="33">
        <f t="shared" si="0"/>
        <v>18619</v>
      </c>
      <c r="I4" t="s">
        <v>71</v>
      </c>
      <c r="J4" s="33">
        <f t="shared" si="1"/>
        <v>930.95</v>
      </c>
      <c r="K4" s="33" t="b">
        <f t="shared" si="2"/>
        <v>0</v>
      </c>
    </row>
    <row r="5" spans="1:14" ht="15.6" x14ac:dyDescent="0.3">
      <c r="A5" s="32">
        <v>5</v>
      </c>
      <c r="B5" s="51" t="s">
        <v>9</v>
      </c>
      <c r="C5" s="35" t="s">
        <v>66</v>
      </c>
      <c r="D5" s="32" t="s">
        <v>26</v>
      </c>
      <c r="E5" s="24" t="s">
        <v>46</v>
      </c>
      <c r="F5" s="32">
        <v>87</v>
      </c>
      <c r="G5" s="32">
        <v>544</v>
      </c>
      <c r="H5" s="32">
        <f t="shared" si="0"/>
        <v>47328</v>
      </c>
      <c r="I5" t="s">
        <v>71</v>
      </c>
      <c r="J5" s="32">
        <f t="shared" si="1"/>
        <v>7099.2</v>
      </c>
      <c r="K5" s="32" t="b">
        <f t="shared" si="2"/>
        <v>0</v>
      </c>
    </row>
    <row r="6" spans="1:14" x14ac:dyDescent="0.3">
      <c r="A6" s="33">
        <v>6</v>
      </c>
      <c r="B6" s="33" t="s">
        <v>2</v>
      </c>
      <c r="C6" s="38" t="s">
        <v>67</v>
      </c>
      <c r="D6" s="33" t="s">
        <v>27</v>
      </c>
      <c r="E6" t="s">
        <v>71</v>
      </c>
      <c r="F6" s="33">
        <v>9</v>
      </c>
      <c r="G6" t="s">
        <v>71</v>
      </c>
      <c r="H6" s="33" t="e">
        <f t="shared" si="0"/>
        <v>#VALUE!</v>
      </c>
      <c r="I6" t="s">
        <v>71</v>
      </c>
      <c r="J6" s="33" t="b">
        <f t="shared" si="1"/>
        <v>0</v>
      </c>
      <c r="K6" s="33" t="b">
        <f t="shared" si="2"/>
        <v>0</v>
      </c>
    </row>
    <row r="7" spans="1:14" ht="15.6" x14ac:dyDescent="0.3">
      <c r="A7" s="32">
        <v>7</v>
      </c>
      <c r="B7" s="32" t="s">
        <v>10</v>
      </c>
      <c r="C7" s="35" t="s">
        <v>65</v>
      </c>
      <c r="D7" s="32" t="s">
        <v>28</v>
      </c>
      <c r="E7" s="24" t="s">
        <v>48</v>
      </c>
      <c r="F7" s="32">
        <v>76</v>
      </c>
      <c r="G7" s="32">
        <v>988</v>
      </c>
      <c r="H7" s="32">
        <f t="shared" si="0"/>
        <v>75088</v>
      </c>
      <c r="I7" t="s">
        <v>71</v>
      </c>
      <c r="J7" t="s">
        <v>71</v>
      </c>
      <c r="K7" s="32" t="b">
        <f t="shared" si="2"/>
        <v>0</v>
      </c>
    </row>
    <row r="8" spans="1:14" ht="15.6" x14ac:dyDescent="0.3">
      <c r="A8" s="33">
        <v>8</v>
      </c>
      <c r="B8" s="33" t="s">
        <v>14</v>
      </c>
      <c r="C8" s="38" t="s">
        <v>66</v>
      </c>
      <c r="D8" s="33" t="s">
        <v>29</v>
      </c>
      <c r="E8" s="25" t="s">
        <v>49</v>
      </c>
      <c r="F8" s="33">
        <v>45</v>
      </c>
      <c r="G8" s="33">
        <v>900</v>
      </c>
      <c r="H8" s="52">
        <f t="shared" si="0"/>
        <v>40500</v>
      </c>
      <c r="I8" t="s">
        <v>71</v>
      </c>
      <c r="J8" s="33">
        <f>IF(F8&gt;=100,H8*25%,IF(F8&gt;=50,H8*15%,IF(F8&gt;=30,H8*5%,IF(F8&gt;=20,H8*0%))))</f>
        <v>2025</v>
      </c>
      <c r="K8" s="33" t="b">
        <f t="shared" si="2"/>
        <v>0</v>
      </c>
    </row>
    <row r="9" spans="1:14" ht="15.6" x14ac:dyDescent="0.3">
      <c r="A9" s="32">
        <v>9</v>
      </c>
      <c r="B9" s="32" t="s">
        <v>15</v>
      </c>
      <c r="C9" s="35" t="s">
        <v>67</v>
      </c>
      <c r="D9" s="32" t="s">
        <v>26</v>
      </c>
      <c r="E9" s="24" t="s">
        <v>50</v>
      </c>
      <c r="F9" s="32">
        <v>766</v>
      </c>
      <c r="G9" s="32">
        <v>980</v>
      </c>
      <c r="H9" s="32">
        <f t="shared" si="0"/>
        <v>750680</v>
      </c>
      <c r="I9" t="s">
        <v>71</v>
      </c>
      <c r="J9" s="32">
        <f>IF(F9&gt;=100,H9*25%,IF(F9&gt;=50,H9*15%,IF(F9&gt;=30,H9*5%,IF(F9&gt;=20,H9*0%))))</f>
        <v>187670</v>
      </c>
      <c r="K9" s="32" t="b">
        <f t="shared" si="2"/>
        <v>0</v>
      </c>
    </row>
    <row r="10" spans="1:14" ht="15.6" x14ac:dyDescent="0.3">
      <c r="A10" s="33">
        <v>10</v>
      </c>
      <c r="B10" s="33" t="s">
        <v>16</v>
      </c>
      <c r="C10" s="38" t="s">
        <v>65</v>
      </c>
      <c r="D10" s="33" t="s">
        <v>27</v>
      </c>
      <c r="E10" s="25" t="s">
        <v>51</v>
      </c>
      <c r="F10" s="33">
        <v>76</v>
      </c>
      <c r="G10" s="33">
        <v>800</v>
      </c>
      <c r="H10" s="33">
        <f t="shared" si="0"/>
        <v>60800</v>
      </c>
      <c r="I10" s="37">
        <f>SUM(Table3[[#This Row],[QTY]:[TOTAL AMOUNT]])</f>
        <v>752426</v>
      </c>
      <c r="J10" s="33">
        <f>IF(F10&gt;=100,H10*25%,IF(F10&gt;=50,H10*15%,IF(F10&gt;=30,H10*5%,IF(F10&gt;=20,H10*0%))))</f>
        <v>9120</v>
      </c>
      <c r="K10" s="33" t="b">
        <f t="shared" si="2"/>
        <v>0</v>
      </c>
    </row>
    <row r="14" spans="1:14" x14ac:dyDescent="0.3">
      <c r="G14">
        <v>12</v>
      </c>
      <c r="H14">
        <v>12</v>
      </c>
      <c r="I14">
        <v>12</v>
      </c>
      <c r="J14" s="39">
        <v>21</v>
      </c>
      <c r="K14">
        <v>12</v>
      </c>
      <c r="L14">
        <v>12</v>
      </c>
      <c r="M14">
        <v>12</v>
      </c>
      <c r="N14">
        <v>12</v>
      </c>
    </row>
    <row r="15" spans="1:14" x14ac:dyDescent="0.3">
      <c r="G15">
        <v>32</v>
      </c>
      <c r="H15" s="39">
        <v>23</v>
      </c>
      <c r="I15">
        <v>32</v>
      </c>
      <c r="J15">
        <v>32</v>
      </c>
      <c r="K15">
        <v>32</v>
      </c>
      <c r="L15">
        <v>32</v>
      </c>
      <c r="M15" s="39">
        <v>43</v>
      </c>
      <c r="N15">
        <v>32</v>
      </c>
    </row>
    <row r="16" spans="1:14" x14ac:dyDescent="0.3">
      <c r="G16">
        <v>34</v>
      </c>
      <c r="H16">
        <v>34</v>
      </c>
      <c r="I16">
        <v>34</v>
      </c>
      <c r="J16" s="39">
        <v>12</v>
      </c>
      <c r="K16">
        <v>34</v>
      </c>
      <c r="L16">
        <v>34</v>
      </c>
      <c r="M16">
        <v>34</v>
      </c>
      <c r="N16">
        <v>34</v>
      </c>
    </row>
    <row r="19" spans="10:14" x14ac:dyDescent="0.3">
      <c r="J19">
        <v>2</v>
      </c>
      <c r="K19">
        <v>4</v>
      </c>
    </row>
    <row r="20" spans="10:14" x14ac:dyDescent="0.3">
      <c r="M20">
        <v>5</v>
      </c>
    </row>
    <row r="21" spans="10:14" x14ac:dyDescent="0.3">
      <c r="N21">
        <f>J19+J22</f>
        <v>34</v>
      </c>
    </row>
    <row r="22" spans="10:14" x14ac:dyDescent="0.3">
      <c r="J22">
        <v>32</v>
      </c>
    </row>
  </sheetData>
  <hyperlinks>
    <hyperlink ref="B5" r:id="rId1" xr:uid="{32D2885D-D925-468B-929E-2F65DCCA3B9E}"/>
    <hyperlink ref="H8" location="sheet4!A1" display="sheet4!A1" xr:uid="{11214B6C-178E-440A-B30E-DA0E38A14AD6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751A-6857-467B-A070-D5EB597F1B06}">
  <sheetPr>
    <tabColor theme="4" tint="-0.249977111117893"/>
  </sheetPr>
  <dimension ref="A1:P51"/>
  <sheetViews>
    <sheetView tabSelected="1" workbookViewId="0">
      <selection activeCell="D16" sqref="D16"/>
    </sheetView>
  </sheetViews>
  <sheetFormatPr defaultRowHeight="14.4" x14ac:dyDescent="0.3"/>
  <cols>
    <col min="2" max="2" width="13.109375" customWidth="1"/>
    <col min="4" max="4" width="29.21875" bestFit="1" customWidth="1"/>
    <col min="9" max="9" width="12" bestFit="1" customWidth="1"/>
    <col min="14" max="14" width="10" bestFit="1" customWidth="1"/>
    <col min="15" max="15" width="11.44140625" bestFit="1" customWidth="1"/>
    <col min="16" max="16" width="10.88671875" bestFit="1" customWidth="1"/>
  </cols>
  <sheetData>
    <row r="1" spans="1:16" ht="15.6" x14ac:dyDescent="0.3">
      <c r="A1" s="67" t="s">
        <v>57</v>
      </c>
      <c r="B1" s="68" t="s">
        <v>65</v>
      </c>
      <c r="C1" s="69" t="s">
        <v>42</v>
      </c>
      <c r="D1" s="70" t="s">
        <v>62</v>
      </c>
    </row>
    <row r="2" spans="1:16" ht="15.6" x14ac:dyDescent="0.3">
      <c r="A2" s="54" t="s">
        <v>63</v>
      </c>
      <c r="B2" s="55" t="s">
        <v>66</v>
      </c>
      <c r="C2" s="56" t="s">
        <v>27</v>
      </c>
      <c r="D2" s="57" t="s">
        <v>43</v>
      </c>
      <c r="E2" s="40">
        <v>90</v>
      </c>
    </row>
    <row r="3" spans="1:16" ht="15.6" x14ac:dyDescent="0.3">
      <c r="A3" s="58" t="s">
        <v>64</v>
      </c>
      <c r="B3" s="59" t="s">
        <v>67</v>
      </c>
      <c r="C3" s="60" t="s">
        <v>28</v>
      </c>
      <c r="D3" s="61" t="s">
        <v>44</v>
      </c>
      <c r="E3" s="40">
        <v>80</v>
      </c>
      <c r="N3" s="71" t="s">
        <v>57</v>
      </c>
      <c r="O3" s="72" t="s">
        <v>65</v>
      </c>
      <c r="P3" s="73" t="s">
        <v>42</v>
      </c>
    </row>
    <row r="4" spans="1:16" ht="15.6" x14ac:dyDescent="0.3">
      <c r="A4" s="54" t="s">
        <v>0</v>
      </c>
      <c r="B4" s="55" t="s">
        <v>65</v>
      </c>
      <c r="C4" s="56" t="s">
        <v>29</v>
      </c>
      <c r="D4" s="57" t="s">
        <v>45</v>
      </c>
      <c r="E4" s="40">
        <v>70</v>
      </c>
      <c r="N4" s="60" t="s">
        <v>10</v>
      </c>
      <c r="O4" s="75" t="s">
        <v>65</v>
      </c>
      <c r="P4" s="60" t="s">
        <v>28</v>
      </c>
    </row>
    <row r="5" spans="1:16" ht="15.6" x14ac:dyDescent="0.3">
      <c r="A5" s="58" t="s">
        <v>9</v>
      </c>
      <c r="B5" s="59" t="s">
        <v>66</v>
      </c>
      <c r="C5" s="60" t="s">
        <v>26</v>
      </c>
      <c r="D5" s="61" t="s">
        <v>46</v>
      </c>
      <c r="E5" s="40">
        <v>60</v>
      </c>
      <c r="N5" s="60" t="s">
        <v>15</v>
      </c>
      <c r="O5" s="75" t="s">
        <v>67</v>
      </c>
      <c r="P5" s="60" t="s">
        <v>26</v>
      </c>
    </row>
    <row r="6" spans="1:16" x14ac:dyDescent="0.3">
      <c r="A6" s="54" t="s">
        <v>2</v>
      </c>
      <c r="B6" s="55" t="s">
        <v>67</v>
      </c>
      <c r="C6" s="56" t="s">
        <v>27</v>
      </c>
      <c r="D6" s="62" t="s">
        <v>71</v>
      </c>
      <c r="E6" s="40">
        <v>50</v>
      </c>
      <c r="N6" s="60" t="s">
        <v>64</v>
      </c>
      <c r="O6" s="75" t="s">
        <v>67</v>
      </c>
      <c r="P6" s="60" t="s">
        <v>28</v>
      </c>
    </row>
    <row r="7" spans="1:16" ht="15.6" x14ac:dyDescent="0.3">
      <c r="A7" s="58" t="s">
        <v>10</v>
      </c>
      <c r="B7" s="59" t="s">
        <v>65</v>
      </c>
      <c r="C7" s="60" t="s">
        <v>28</v>
      </c>
      <c r="D7" s="61" t="s">
        <v>48</v>
      </c>
      <c r="E7" s="40">
        <v>40</v>
      </c>
      <c r="N7" s="56" t="s">
        <v>14</v>
      </c>
      <c r="O7" s="74" t="s">
        <v>66</v>
      </c>
      <c r="P7" s="56" t="s">
        <v>29</v>
      </c>
    </row>
    <row r="8" spans="1:16" ht="15.6" x14ac:dyDescent="0.3">
      <c r="A8" s="54" t="s">
        <v>14</v>
      </c>
      <c r="B8" s="55" t="s">
        <v>66</v>
      </c>
      <c r="C8" s="56" t="s">
        <v>29</v>
      </c>
      <c r="D8" s="57" t="s">
        <v>49</v>
      </c>
      <c r="E8" s="40">
        <v>30</v>
      </c>
      <c r="F8" t="str">
        <f>HYPERLINK("#A10","JUMP TO A10")</f>
        <v>JUMP TO A10</v>
      </c>
      <c r="I8" t="str">
        <f>HYPERLINK("#A10","JUMP TO A10")</f>
        <v>JUMP TO A10</v>
      </c>
      <c r="N8" s="56" t="s">
        <v>2</v>
      </c>
      <c r="O8" s="74" t="s">
        <v>67</v>
      </c>
      <c r="P8" s="56" t="s">
        <v>27</v>
      </c>
    </row>
    <row r="9" spans="1:16" ht="15.6" x14ac:dyDescent="0.3">
      <c r="A9" s="58" t="s">
        <v>15</v>
      </c>
      <c r="B9" s="59" t="s">
        <v>67</v>
      </c>
      <c r="C9" s="60" t="s">
        <v>26</v>
      </c>
      <c r="D9" s="61" t="s">
        <v>50</v>
      </c>
      <c r="E9" s="40">
        <v>20</v>
      </c>
      <c r="N9" s="56" t="s">
        <v>0</v>
      </c>
      <c r="O9" s="74" t="s">
        <v>65</v>
      </c>
      <c r="P9" s="56" t="s">
        <v>29</v>
      </c>
    </row>
    <row r="10" spans="1:16" ht="15.6" x14ac:dyDescent="0.3">
      <c r="A10" s="63" t="s">
        <v>16</v>
      </c>
      <c r="B10" s="64" t="s">
        <v>65</v>
      </c>
      <c r="C10" s="65" t="s">
        <v>27</v>
      </c>
      <c r="D10" s="66" t="s">
        <v>51</v>
      </c>
      <c r="E10" s="40">
        <v>10</v>
      </c>
      <c r="N10" s="60" t="s">
        <v>9</v>
      </c>
      <c r="O10" s="75" t="s">
        <v>66</v>
      </c>
      <c r="P10" s="60" t="s">
        <v>26</v>
      </c>
    </row>
    <row r="11" spans="1:16" x14ac:dyDescent="0.3">
      <c r="N11" s="56" t="s">
        <v>63</v>
      </c>
      <c r="O11" s="74" t="s">
        <v>66</v>
      </c>
      <c r="P11" s="56" t="s">
        <v>27</v>
      </c>
    </row>
    <row r="12" spans="1:16" x14ac:dyDescent="0.3">
      <c r="D12" s="53" t="str">
        <f>HYPERLINK("D51","JUMP TO D51")</f>
        <v>JUMP TO D51</v>
      </c>
      <c r="N12" s="56" t="s">
        <v>16</v>
      </c>
      <c r="O12" s="74" t="s">
        <v>65</v>
      </c>
      <c r="P12" s="56" t="s">
        <v>27</v>
      </c>
    </row>
    <row r="14" spans="1:16" x14ac:dyDescent="0.3">
      <c r="F14" s="53" t="str">
        <f>HYPERLINK("#D51","JUMP TO D51")</f>
        <v>JUMP TO D51</v>
      </c>
    </row>
    <row r="20" spans="4:4" x14ac:dyDescent="0.3">
      <c r="D20" t="str">
        <f>HYPERLINK("#A10","JUMP TO A10")</f>
        <v>JUMP TO A10</v>
      </c>
    </row>
    <row r="51" spans="4:4" x14ac:dyDescent="0.3">
      <c r="D51" t="s">
        <v>38</v>
      </c>
    </row>
  </sheetData>
  <sortState xmlns:xlrd2="http://schemas.microsoft.com/office/spreadsheetml/2017/richdata2" ref="N4:P12">
    <sortCondition ref="N4:N12"/>
  </sortState>
  <conditionalFormatting sqref="A1:C10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2:B9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E2:E10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N3:P1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:O11">
    <cfRule type="iconSet" priority="1">
      <iconSet iconSet="3Arrows">
        <cfvo type="percent" val="0"/>
        <cfvo type="percent" val="33"/>
        <cfvo type="percent" val="67"/>
      </iconSet>
    </cfRule>
  </conditionalFormatting>
  <printOptions horizontalCentered="1" verticalCentered="1"/>
  <pageMargins left="1.1023622047244095" right="1.1023622047244095" top="1.1417322834645669" bottom="1.1417322834645669" header="0.31496062992125984" footer="0.31496062992125984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F37F-677C-4369-8779-6119BC6F6F9D}">
  <sheetPr>
    <tabColor theme="4" tint="-0.249977111117893"/>
  </sheetPr>
  <dimension ref="A1:Z40"/>
  <sheetViews>
    <sheetView topLeftCell="F1" workbookViewId="0">
      <selection activeCell="Q26" sqref="Q26"/>
    </sheetView>
  </sheetViews>
  <sheetFormatPr defaultRowHeight="14.4" x14ac:dyDescent="0.3"/>
  <cols>
    <col min="2" max="2" width="19.109375" customWidth="1"/>
    <col min="3" max="3" width="15.44140625" customWidth="1"/>
    <col min="4" max="4" width="12.109375" customWidth="1"/>
    <col min="5" max="5" width="13.109375" customWidth="1"/>
    <col min="6" max="6" width="13.5546875" customWidth="1"/>
    <col min="7" max="7" width="11.5546875" customWidth="1"/>
  </cols>
  <sheetData>
    <row r="1" spans="1:22" x14ac:dyDescent="0.3">
      <c r="A1" s="18" t="s">
        <v>70</v>
      </c>
      <c r="B1" s="21" t="s">
        <v>5</v>
      </c>
      <c r="C1" s="21" t="s">
        <v>6</v>
      </c>
      <c r="D1" s="19" t="s">
        <v>3</v>
      </c>
      <c r="E1" s="19" t="s">
        <v>7</v>
      </c>
      <c r="F1" s="20" t="s">
        <v>18</v>
      </c>
      <c r="G1" s="19" t="s">
        <v>4</v>
      </c>
    </row>
    <row r="2" spans="1:22" x14ac:dyDescent="0.3">
      <c r="A2" s="17"/>
      <c r="B2" t="s">
        <v>17</v>
      </c>
      <c r="D2">
        <v>6009</v>
      </c>
      <c r="F2" t="b">
        <f t="shared" ref="F2:F11" si="0">IF(C2="ACCOUNT",D2+10000,IF(C2="SALES",D2+500,IF(C2="PURCHASE",D2+100)))</f>
        <v>0</v>
      </c>
      <c r="G2" t="e" cm="1">
        <f t="array" ref="G2">sum</f>
        <v>#NAME?</v>
      </c>
      <c r="J2">
        <v>23</v>
      </c>
      <c r="K2">
        <v>23</v>
      </c>
      <c r="L2">
        <v>23</v>
      </c>
      <c r="M2">
        <v>23</v>
      </c>
      <c r="N2">
        <v>23</v>
      </c>
      <c r="O2">
        <v>23</v>
      </c>
      <c r="P2">
        <v>23</v>
      </c>
      <c r="Q2">
        <v>23</v>
      </c>
    </row>
    <row r="3" spans="1:22" ht="15" x14ac:dyDescent="0.3">
      <c r="A3" s="17"/>
      <c r="B3" t="s">
        <v>16</v>
      </c>
      <c r="D3">
        <v>6008</v>
      </c>
      <c r="F3" t="b">
        <f t="shared" si="0"/>
        <v>0</v>
      </c>
      <c r="G3" t="e" cm="1">
        <f t="array" ref="G3">sum</f>
        <v>#NAME?</v>
      </c>
      <c r="I3" s="4"/>
      <c r="J3">
        <v>23</v>
      </c>
      <c r="K3">
        <v>23</v>
      </c>
      <c r="L3">
        <v>23</v>
      </c>
      <c r="M3">
        <v>23</v>
      </c>
      <c r="N3">
        <v>23</v>
      </c>
      <c r="O3">
        <v>23</v>
      </c>
      <c r="P3">
        <v>23</v>
      </c>
      <c r="Q3">
        <v>23</v>
      </c>
    </row>
    <row r="4" spans="1:22" x14ac:dyDescent="0.3">
      <c r="A4" s="17"/>
      <c r="B4" t="s">
        <v>15</v>
      </c>
      <c r="D4">
        <v>6007</v>
      </c>
      <c r="F4" t="b">
        <f t="shared" si="0"/>
        <v>0</v>
      </c>
      <c r="G4" t="e" cm="1">
        <f t="array" ref="G4">sum</f>
        <v>#NAME?</v>
      </c>
      <c r="J4">
        <v>23</v>
      </c>
    </row>
    <row r="5" spans="1:22" x14ac:dyDescent="0.3">
      <c r="A5" s="17"/>
      <c r="B5" t="s">
        <v>14</v>
      </c>
      <c r="D5">
        <v>6006</v>
      </c>
      <c r="E5" t="s">
        <v>35</v>
      </c>
      <c r="F5" t="b">
        <f t="shared" si="0"/>
        <v>0</v>
      </c>
      <c r="G5" t="e" cm="1">
        <f t="array" ref="G5">sum</f>
        <v>#NAME?</v>
      </c>
      <c r="J5">
        <v>23</v>
      </c>
    </row>
    <row r="6" spans="1:22" x14ac:dyDescent="0.3">
      <c r="A6" s="17"/>
      <c r="B6" t="s">
        <v>2</v>
      </c>
      <c r="D6">
        <v>6005</v>
      </c>
      <c r="F6" t="b">
        <f t="shared" si="0"/>
        <v>0</v>
      </c>
      <c r="G6" t="e" cm="1">
        <f t="array" ref="G6">sum</f>
        <v>#NAME?</v>
      </c>
      <c r="J6">
        <v>23</v>
      </c>
      <c r="Q6" s="6" t="s">
        <v>70</v>
      </c>
      <c r="R6" s="11" t="s">
        <v>5</v>
      </c>
      <c r="S6" s="11" t="s">
        <v>6</v>
      </c>
      <c r="T6" s="7" t="s">
        <v>3</v>
      </c>
      <c r="U6" s="7" t="s">
        <v>7</v>
      </c>
      <c r="V6" s="7" t="s">
        <v>18</v>
      </c>
    </row>
    <row r="7" spans="1:22" x14ac:dyDescent="0.3">
      <c r="A7" s="17"/>
      <c r="B7" t="s">
        <v>9</v>
      </c>
      <c r="D7">
        <v>6004</v>
      </c>
      <c r="F7" t="b">
        <f t="shared" si="0"/>
        <v>0</v>
      </c>
      <c r="G7" t="e" cm="1">
        <f t="array" ref="G7">sum</f>
        <v>#NAME?</v>
      </c>
      <c r="J7">
        <v>23</v>
      </c>
      <c r="Q7" s="8"/>
      <c r="R7" s="29" t="s">
        <v>57</v>
      </c>
      <c r="S7" s="8" t="s">
        <v>11</v>
      </c>
      <c r="T7" s="9">
        <v>6000</v>
      </c>
      <c r="U7" s="9"/>
      <c r="V7" s="9">
        <f>IF(S7="ACCOUNT",T7+10000,IF(S7="SALES",T7+500,IF(S7="PURCHASE",T7+100)))</f>
        <v>16000</v>
      </c>
    </row>
    <row r="8" spans="1:22" x14ac:dyDescent="0.3">
      <c r="A8" s="17"/>
      <c r="B8" t="s">
        <v>0</v>
      </c>
      <c r="C8" t="s">
        <v>12</v>
      </c>
      <c r="D8">
        <v>6003</v>
      </c>
      <c r="F8">
        <f t="shared" si="0"/>
        <v>6503</v>
      </c>
      <c r="G8" t="e" cm="1">
        <f t="array" ref="G8">sum</f>
        <v>#NAME?</v>
      </c>
      <c r="J8">
        <v>23</v>
      </c>
      <c r="Q8" s="8"/>
      <c r="R8" s="11" t="s">
        <v>8</v>
      </c>
      <c r="S8" s="8" t="s">
        <v>12</v>
      </c>
      <c r="T8" s="9">
        <v>10000</v>
      </c>
      <c r="U8" s="11"/>
      <c r="V8" s="9">
        <f t="shared" ref="V8:V17" si="1">IF(S8="ACCOUNT",T8+10000,IF(S8="SALES",T8+500,IF(S8="PURCHASE",T8+100)))</f>
        <v>10500</v>
      </c>
    </row>
    <row r="9" spans="1:22" x14ac:dyDescent="0.3">
      <c r="A9" s="17"/>
      <c r="B9" t="s">
        <v>1</v>
      </c>
      <c r="C9" t="s">
        <v>40</v>
      </c>
      <c r="D9">
        <v>6002</v>
      </c>
      <c r="F9" t="b">
        <f t="shared" si="0"/>
        <v>0</v>
      </c>
      <c r="G9" t="e" cm="1">
        <f t="array" ref="G9">sum</f>
        <v>#NAME?</v>
      </c>
      <c r="J9">
        <v>23</v>
      </c>
      <c r="Q9" s="8"/>
      <c r="R9" s="9" t="s">
        <v>1</v>
      </c>
      <c r="S9" s="8" t="s">
        <v>13</v>
      </c>
      <c r="T9" s="9">
        <v>45544</v>
      </c>
      <c r="U9" s="9"/>
      <c r="V9" s="9">
        <f t="shared" si="1"/>
        <v>45644</v>
      </c>
    </row>
    <row r="10" spans="1:22" x14ac:dyDescent="0.3">
      <c r="A10" s="17"/>
      <c r="B10" t="s">
        <v>8</v>
      </c>
      <c r="C10" t="s">
        <v>39</v>
      </c>
      <c r="D10">
        <v>6001</v>
      </c>
      <c r="F10" t="b">
        <f t="shared" si="0"/>
        <v>0</v>
      </c>
      <c r="G10" t="e" cm="1">
        <f t="array" ref="G10">sum</f>
        <v>#NAME?</v>
      </c>
      <c r="J10">
        <v>23</v>
      </c>
      <c r="Q10" s="8"/>
      <c r="R10" s="8" t="s">
        <v>0</v>
      </c>
      <c r="S10" s="8" t="s">
        <v>11</v>
      </c>
      <c r="T10" s="9">
        <v>2444</v>
      </c>
      <c r="U10" s="10"/>
      <c r="V10" s="9">
        <f>IF(S10="ACCOUNT",T10+10000,IF(S10="SALES",T10+500,IF(S10="PURCHASE",T10+100)))</f>
        <v>12444</v>
      </c>
    </row>
    <row r="11" spans="1:22" x14ac:dyDescent="0.3">
      <c r="A11" s="17"/>
      <c r="B11" s="26" t="s">
        <v>57</v>
      </c>
      <c r="C11" t="s">
        <v>11</v>
      </c>
      <c r="D11">
        <v>6000</v>
      </c>
      <c r="F11">
        <f t="shared" si="0"/>
        <v>16000</v>
      </c>
      <c r="G11" t="e" cm="1">
        <f t="array" ref="G11">sum</f>
        <v>#NAME?</v>
      </c>
      <c r="J11">
        <v>23</v>
      </c>
      <c r="Q11" s="8"/>
      <c r="R11" s="8" t="s">
        <v>9</v>
      </c>
      <c r="S11" s="8" t="s">
        <v>12</v>
      </c>
      <c r="T11" s="9">
        <v>7777</v>
      </c>
      <c r="U11" s="9"/>
      <c r="V11" s="9">
        <f t="shared" si="1"/>
        <v>8277</v>
      </c>
    </row>
    <row r="12" spans="1:22" x14ac:dyDescent="0.3">
      <c r="J12">
        <v>23</v>
      </c>
      <c r="Q12" s="8"/>
      <c r="R12" s="8" t="s">
        <v>2</v>
      </c>
      <c r="S12" s="8" t="s">
        <v>13</v>
      </c>
      <c r="T12" s="9">
        <v>2000</v>
      </c>
      <c r="U12" s="9"/>
      <c r="V12" s="9">
        <f t="shared" si="1"/>
        <v>2100</v>
      </c>
    </row>
    <row r="13" spans="1:22" ht="17.399999999999999" x14ac:dyDescent="0.45">
      <c r="A13" s="5"/>
      <c r="J13">
        <v>23</v>
      </c>
      <c r="Q13" s="8"/>
      <c r="R13" s="8" t="s">
        <v>10</v>
      </c>
      <c r="S13" s="8" t="s">
        <v>11</v>
      </c>
      <c r="T13" s="9">
        <v>200000</v>
      </c>
      <c r="U13" s="9"/>
      <c r="V13" s="9">
        <f t="shared" si="1"/>
        <v>210000</v>
      </c>
    </row>
    <row r="14" spans="1:22" ht="17.399999999999999" x14ac:dyDescent="0.45">
      <c r="A14" s="5"/>
      <c r="B14" s="5"/>
      <c r="C14" s="5"/>
      <c r="J14">
        <v>23</v>
      </c>
      <c r="Q14" s="8"/>
      <c r="R14" s="8" t="s">
        <v>14</v>
      </c>
      <c r="S14" s="8" t="s">
        <v>12</v>
      </c>
      <c r="T14" s="9">
        <v>50000</v>
      </c>
      <c r="U14" s="9" t="s">
        <v>35</v>
      </c>
      <c r="V14" s="9">
        <f t="shared" si="1"/>
        <v>50500</v>
      </c>
    </row>
    <row r="15" spans="1:22" ht="17.399999999999999" x14ac:dyDescent="0.45">
      <c r="A15" s="5"/>
      <c r="B15" s="22" t="s">
        <v>17</v>
      </c>
      <c r="C15" t="s">
        <v>16</v>
      </c>
      <c r="D15" s="22" t="s">
        <v>15</v>
      </c>
      <c r="E15" t="s">
        <v>14</v>
      </c>
      <c r="F15" s="22" t="s">
        <v>2</v>
      </c>
      <c r="G15" t="s">
        <v>9</v>
      </c>
      <c r="H15" s="22" t="s">
        <v>0</v>
      </c>
      <c r="I15" t="s">
        <v>1</v>
      </c>
      <c r="J15" s="22" t="s">
        <v>8</v>
      </c>
      <c r="K15" s="28" t="s">
        <v>57</v>
      </c>
      <c r="Q15" s="8"/>
      <c r="R15" s="8" t="s">
        <v>15</v>
      </c>
      <c r="S15" s="8" t="s">
        <v>13</v>
      </c>
      <c r="T15" s="9">
        <v>5000</v>
      </c>
      <c r="U15" s="9"/>
      <c r="V15" s="9">
        <f t="shared" si="1"/>
        <v>5100</v>
      </c>
    </row>
    <row r="16" spans="1:22" x14ac:dyDescent="0.3">
      <c r="Q16" s="8"/>
      <c r="R16" s="8" t="s">
        <v>16</v>
      </c>
      <c r="S16" s="8" t="s">
        <v>11</v>
      </c>
      <c r="T16" s="9">
        <v>5600</v>
      </c>
      <c r="U16" s="9"/>
      <c r="V16" s="9">
        <f t="shared" si="1"/>
        <v>15600</v>
      </c>
    </row>
    <row r="17" spans="7:26" x14ac:dyDescent="0.3">
      <c r="Q17" s="8"/>
      <c r="R17" s="8" t="s">
        <v>17</v>
      </c>
      <c r="S17" s="8" t="s">
        <v>12</v>
      </c>
      <c r="T17" s="9">
        <v>30000</v>
      </c>
      <c r="U17" s="9"/>
      <c r="V17" s="9">
        <f t="shared" si="1"/>
        <v>30500</v>
      </c>
    </row>
    <row r="18" spans="7:26" ht="57.6" x14ac:dyDescent="0.3">
      <c r="G18" s="2" t="s">
        <v>69</v>
      </c>
      <c r="H18" s="12" t="s">
        <v>19</v>
      </c>
      <c r="I18" t="s">
        <v>26</v>
      </c>
      <c r="J18" s="2" t="s">
        <v>20</v>
      </c>
      <c r="K18" s="2" t="s">
        <v>21</v>
      </c>
      <c r="L18" s="2" t="s">
        <v>22</v>
      </c>
      <c r="M18" s="2" t="s">
        <v>23</v>
      </c>
      <c r="N18" s="14" t="s">
        <v>24</v>
      </c>
      <c r="O18" s="2" t="s">
        <v>37</v>
      </c>
      <c r="Z18">
        <v>1</v>
      </c>
    </row>
    <row r="19" spans="7:26" x14ac:dyDescent="0.3">
      <c r="G19" s="2"/>
      <c r="H19" s="12"/>
      <c r="J19" s="2"/>
      <c r="K19" s="2"/>
      <c r="L19" s="2"/>
      <c r="M19" s="2">
        <f t="shared" ref="M19:M29" si="2">K19*L19</f>
        <v>0</v>
      </c>
      <c r="N19" s="14" t="b">
        <f>IF(K19&gt;=100,M19*25%,IF(K19&gt;=50,M19*15%,IF(K19&gt;=30,M19*5%,IF(K19&gt;=20,M19*0%))))</f>
        <v>0</v>
      </c>
      <c r="O19" s="2" t="b">
        <f t="shared" ref="O19:O29" si="3">IF(I19="wholesaler",M19*30%,IF(I19="retailer",M19*20%,IF(I19="customer",M19*10%)))</f>
        <v>0</v>
      </c>
      <c r="Z19">
        <v>2</v>
      </c>
    </row>
    <row r="20" spans="7:26" x14ac:dyDescent="0.3">
      <c r="G20" s="2"/>
      <c r="H20" s="12"/>
      <c r="J20" s="2"/>
      <c r="K20" s="2"/>
      <c r="L20" s="2"/>
      <c r="M20" s="2">
        <f t="shared" si="2"/>
        <v>0</v>
      </c>
      <c r="N20" s="14" t="b">
        <f t="shared" ref="N20:N29" si="4">IF(K20&gt;=100,M20*25%,IF(K20&gt;=50,M20*15%,IF(K20&gt;=30,M20*5%,IF(K20&gt;=20,M20*0%))))</f>
        <v>0</v>
      </c>
      <c r="O20" s="2" t="b">
        <f t="shared" si="3"/>
        <v>0</v>
      </c>
    </row>
    <row r="21" spans="7:26" x14ac:dyDescent="0.3">
      <c r="G21" s="2"/>
      <c r="H21" s="12"/>
      <c r="J21" s="2"/>
      <c r="K21" s="2"/>
      <c r="L21" s="2"/>
      <c r="M21" s="2">
        <f t="shared" si="2"/>
        <v>0</v>
      </c>
      <c r="N21" s="14" t="b">
        <f t="shared" si="4"/>
        <v>0</v>
      </c>
      <c r="O21" s="2" t="b">
        <f t="shared" si="3"/>
        <v>0</v>
      </c>
    </row>
    <row r="22" spans="7:26" x14ac:dyDescent="0.3">
      <c r="G22" s="2"/>
      <c r="H22" s="12"/>
      <c r="J22" s="2"/>
      <c r="K22" s="2"/>
      <c r="L22" s="2"/>
      <c r="M22" s="2">
        <f t="shared" si="2"/>
        <v>0</v>
      </c>
      <c r="N22" s="14" t="b">
        <f t="shared" si="4"/>
        <v>0</v>
      </c>
      <c r="O22" s="2" t="b">
        <f t="shared" si="3"/>
        <v>0</v>
      </c>
    </row>
    <row r="23" spans="7:26" x14ac:dyDescent="0.3">
      <c r="G23" s="2"/>
      <c r="H23" s="12"/>
      <c r="J23" s="2"/>
      <c r="K23" s="2"/>
      <c r="L23" s="2"/>
      <c r="M23" s="2">
        <f t="shared" si="2"/>
        <v>0</v>
      </c>
      <c r="N23" s="14" t="b">
        <f t="shared" si="4"/>
        <v>0</v>
      </c>
      <c r="O23" s="2" t="b">
        <f t="shared" si="3"/>
        <v>0</v>
      </c>
    </row>
    <row r="24" spans="7:26" x14ac:dyDescent="0.3">
      <c r="G24" s="2"/>
      <c r="H24" s="12"/>
      <c r="J24" s="2"/>
      <c r="K24" s="2"/>
      <c r="L24" s="2"/>
      <c r="M24" s="2">
        <f t="shared" si="2"/>
        <v>0</v>
      </c>
      <c r="N24" s="14" t="b">
        <f t="shared" si="4"/>
        <v>0</v>
      </c>
      <c r="O24" s="2" t="b">
        <f t="shared" si="3"/>
        <v>0</v>
      </c>
    </row>
    <row r="25" spans="7:26" x14ac:dyDescent="0.3">
      <c r="G25" s="2"/>
      <c r="H25" s="12"/>
      <c r="J25" s="2"/>
      <c r="K25" s="2"/>
      <c r="L25" s="2"/>
      <c r="M25" s="2">
        <f t="shared" si="2"/>
        <v>0</v>
      </c>
      <c r="N25" s="14" t="b">
        <f t="shared" si="4"/>
        <v>0</v>
      </c>
      <c r="O25" s="2" t="b">
        <f t="shared" si="3"/>
        <v>0</v>
      </c>
    </row>
    <row r="26" spans="7:26" x14ac:dyDescent="0.3">
      <c r="G26" s="2"/>
      <c r="H26" s="12"/>
      <c r="J26" s="2"/>
      <c r="K26" s="2"/>
      <c r="L26" s="2"/>
      <c r="M26" s="2">
        <f t="shared" si="2"/>
        <v>0</v>
      </c>
      <c r="N26" s="14" t="b">
        <f t="shared" si="4"/>
        <v>0</v>
      </c>
      <c r="O26" s="2" t="b">
        <f t="shared" si="3"/>
        <v>0</v>
      </c>
    </row>
    <row r="27" spans="7:26" x14ac:dyDescent="0.3">
      <c r="G27" s="2"/>
      <c r="H27" s="12"/>
      <c r="J27" s="2"/>
      <c r="K27" s="2"/>
      <c r="L27" s="2"/>
      <c r="M27" s="2">
        <f t="shared" si="2"/>
        <v>0</v>
      </c>
      <c r="N27" s="14" t="b">
        <f t="shared" si="4"/>
        <v>0</v>
      </c>
      <c r="O27" s="2" t="b">
        <f t="shared" si="3"/>
        <v>0</v>
      </c>
    </row>
    <row r="28" spans="7:26" x14ac:dyDescent="0.3">
      <c r="G28" s="2"/>
      <c r="H28" s="12"/>
      <c r="J28" s="2"/>
      <c r="K28" s="2"/>
      <c r="L28" s="2"/>
      <c r="M28" s="2">
        <f t="shared" si="2"/>
        <v>0</v>
      </c>
      <c r="N28" s="14" t="b">
        <f t="shared" si="4"/>
        <v>0</v>
      </c>
      <c r="O28" s="2" t="b">
        <f t="shared" si="3"/>
        <v>0</v>
      </c>
    </row>
    <row r="29" spans="7:26" x14ac:dyDescent="0.3">
      <c r="G29" s="2"/>
      <c r="H29" s="12"/>
      <c r="J29" s="2"/>
      <c r="K29" s="2"/>
      <c r="L29" s="2"/>
      <c r="M29" s="2">
        <f t="shared" si="2"/>
        <v>0</v>
      </c>
      <c r="N29" s="14" t="b">
        <f t="shared" si="4"/>
        <v>0</v>
      </c>
      <c r="O29" s="2" t="b">
        <f t="shared" si="3"/>
        <v>0</v>
      </c>
    </row>
    <row r="30" spans="7:26" x14ac:dyDescent="0.3">
      <c r="G30">
        <v>7</v>
      </c>
      <c r="H30" t="s">
        <v>10</v>
      </c>
      <c r="I30" t="s">
        <v>68</v>
      </c>
      <c r="J30" t="s">
        <v>28</v>
      </c>
      <c r="K30">
        <v>76</v>
      </c>
      <c r="L30">
        <v>988</v>
      </c>
      <c r="M30">
        <f t="shared" ref="M30:M39" si="5">K30*L30</f>
        <v>75088</v>
      </c>
      <c r="N30">
        <f t="shared" ref="N30:N39" si="6">IF(K30&gt;=100,M30*25%,IF(K30&gt;=50,M30*15%,IF(K30&gt;=30,M30*5%,IF(K30&gt;=20,M30*0%))))</f>
        <v>11263.199999999999</v>
      </c>
      <c r="O30" t="b">
        <f t="shared" ref="O30:O39" si="7">IF(I30="wholesaler",M30*30%,IF(I30="retailer",M30*20%,IF(I30="customer",M30*10%)))</f>
        <v>0</v>
      </c>
    </row>
    <row r="31" spans="7:26" x14ac:dyDescent="0.3">
      <c r="G31">
        <v>9</v>
      </c>
      <c r="H31" t="s">
        <v>15</v>
      </c>
      <c r="I31" t="s">
        <v>34</v>
      </c>
      <c r="J31" t="s">
        <v>26</v>
      </c>
      <c r="K31">
        <v>766</v>
      </c>
      <c r="L31">
        <v>980</v>
      </c>
      <c r="M31">
        <f t="shared" si="5"/>
        <v>750680</v>
      </c>
      <c r="N31">
        <f t="shared" si="6"/>
        <v>187670</v>
      </c>
      <c r="O31">
        <f t="shared" si="7"/>
        <v>75068</v>
      </c>
    </row>
    <row r="32" spans="7:26" x14ac:dyDescent="0.3">
      <c r="G32">
        <v>3</v>
      </c>
      <c r="H32" t="s">
        <v>1</v>
      </c>
      <c r="I32" t="s">
        <v>34</v>
      </c>
      <c r="J32" t="s">
        <v>28</v>
      </c>
      <c r="K32">
        <v>33</v>
      </c>
      <c r="L32">
        <v>233</v>
      </c>
      <c r="M32">
        <f t="shared" si="5"/>
        <v>7689</v>
      </c>
      <c r="N32">
        <f t="shared" si="6"/>
        <v>384.45000000000005</v>
      </c>
      <c r="O32">
        <f t="shared" si="7"/>
        <v>768.90000000000009</v>
      </c>
    </row>
    <row r="33" spans="7:15" x14ac:dyDescent="0.3">
      <c r="G33">
        <v>8</v>
      </c>
      <c r="H33" t="s">
        <v>14</v>
      </c>
      <c r="I33" t="s">
        <v>33</v>
      </c>
      <c r="J33" t="s">
        <v>29</v>
      </c>
      <c r="K33">
        <v>45</v>
      </c>
      <c r="L33">
        <v>900</v>
      </c>
      <c r="M33">
        <f t="shared" si="5"/>
        <v>40500</v>
      </c>
      <c r="N33">
        <f t="shared" si="6"/>
        <v>2025</v>
      </c>
      <c r="O33">
        <f t="shared" si="7"/>
        <v>8100</v>
      </c>
    </row>
    <row r="34" spans="7:15" x14ac:dyDescent="0.3">
      <c r="G34">
        <v>6</v>
      </c>
      <c r="H34" t="s">
        <v>2</v>
      </c>
      <c r="I34" t="s">
        <v>34</v>
      </c>
      <c r="J34" t="s">
        <v>27</v>
      </c>
      <c r="K34">
        <v>9</v>
      </c>
      <c r="L34">
        <v>543</v>
      </c>
      <c r="M34">
        <f t="shared" si="5"/>
        <v>4887</v>
      </c>
      <c r="N34" t="b">
        <f t="shared" si="6"/>
        <v>0</v>
      </c>
      <c r="O34">
        <f t="shared" si="7"/>
        <v>488.70000000000005</v>
      </c>
    </row>
    <row r="35" spans="7:15" x14ac:dyDescent="0.3">
      <c r="G35">
        <v>1</v>
      </c>
      <c r="H35" s="26" t="s">
        <v>57</v>
      </c>
      <c r="I35" t="s">
        <v>32</v>
      </c>
      <c r="K35">
        <v>122</v>
      </c>
      <c r="L35">
        <v>560</v>
      </c>
      <c r="M35">
        <f t="shared" si="5"/>
        <v>68320</v>
      </c>
      <c r="N35">
        <f t="shared" si="6"/>
        <v>17080</v>
      </c>
      <c r="O35">
        <f t="shared" si="7"/>
        <v>20496</v>
      </c>
    </row>
    <row r="36" spans="7:15" x14ac:dyDescent="0.3">
      <c r="G36">
        <v>4</v>
      </c>
      <c r="H36" t="s">
        <v>0</v>
      </c>
      <c r="I36" t="s">
        <v>32</v>
      </c>
      <c r="J36" t="s">
        <v>29</v>
      </c>
      <c r="K36">
        <v>43</v>
      </c>
      <c r="L36">
        <v>433</v>
      </c>
      <c r="M36">
        <f t="shared" si="5"/>
        <v>18619</v>
      </c>
      <c r="N36">
        <f t="shared" si="6"/>
        <v>930.95</v>
      </c>
      <c r="O36">
        <f t="shared" si="7"/>
        <v>5585.7</v>
      </c>
    </row>
    <row r="37" spans="7:15" x14ac:dyDescent="0.3">
      <c r="G37">
        <v>5</v>
      </c>
      <c r="H37" t="s">
        <v>9</v>
      </c>
      <c r="I37" t="s">
        <v>33</v>
      </c>
      <c r="J37" t="s">
        <v>26</v>
      </c>
      <c r="K37">
        <v>87</v>
      </c>
      <c r="L37">
        <v>544</v>
      </c>
      <c r="M37">
        <f t="shared" si="5"/>
        <v>47328</v>
      </c>
      <c r="N37">
        <f t="shared" si="6"/>
        <v>7099.2</v>
      </c>
      <c r="O37">
        <f t="shared" si="7"/>
        <v>9465.6</v>
      </c>
    </row>
    <row r="38" spans="7:15" x14ac:dyDescent="0.3">
      <c r="G38">
        <v>2</v>
      </c>
      <c r="H38" t="s">
        <v>8</v>
      </c>
      <c r="I38" t="s">
        <v>33</v>
      </c>
      <c r="J38" t="s">
        <v>27</v>
      </c>
      <c r="K38">
        <v>122</v>
      </c>
      <c r="L38">
        <v>300</v>
      </c>
      <c r="M38">
        <f t="shared" si="5"/>
        <v>36600</v>
      </c>
      <c r="N38">
        <f t="shared" si="6"/>
        <v>9150</v>
      </c>
      <c r="O38">
        <f t="shared" si="7"/>
        <v>7320</v>
      </c>
    </row>
    <row r="39" spans="7:15" x14ac:dyDescent="0.3">
      <c r="G39">
        <v>10</v>
      </c>
      <c r="H39" t="s">
        <v>16</v>
      </c>
      <c r="I39" t="s">
        <v>32</v>
      </c>
      <c r="J39" t="s">
        <v>27</v>
      </c>
      <c r="K39">
        <v>76</v>
      </c>
      <c r="L39">
        <v>800</v>
      </c>
      <c r="M39">
        <f t="shared" si="5"/>
        <v>60800</v>
      </c>
      <c r="N39">
        <f t="shared" si="6"/>
        <v>9120</v>
      </c>
      <c r="O39">
        <f t="shared" si="7"/>
        <v>18240</v>
      </c>
    </row>
    <row r="40" spans="7:15" x14ac:dyDescent="0.3">
      <c r="G40" s="13">
        <v>11</v>
      </c>
      <c r="H40" t="s">
        <v>17</v>
      </c>
      <c r="I40" t="s">
        <v>33</v>
      </c>
      <c r="J40" t="s">
        <v>28</v>
      </c>
      <c r="K40">
        <v>54</v>
      </c>
      <c r="L40">
        <v>200</v>
      </c>
      <c r="M40">
        <f>K56*L56</f>
        <v>0</v>
      </c>
      <c r="N40" t="b">
        <f>IF(K56&gt;=100,M56*25%,IF(K56&gt;=50,M56*15%,IF(K56&gt;=30,M56*5%,IF(K56&gt;=20,M56*0%))))</f>
        <v>0</v>
      </c>
      <c r="O40" t="b">
        <f>IF(I56="wholesaler",M56*30%,IF(I56="retailer",M56*20%,IF(I56="customer",M56*10%)))</f>
        <v>0</v>
      </c>
    </row>
  </sheetData>
  <sortState xmlns:xlrd2="http://schemas.microsoft.com/office/spreadsheetml/2017/richdata2" ref="B15:K16">
    <sortCondition ref="B15:B16"/>
  </sortState>
  <conditionalFormatting sqref="A1:D1 A2:A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{8EA96E03-0551-4A7C-9994-D8A393E37DAA}</x14:id>
        </ext>
      </extLst>
    </cfRule>
  </conditionalFormatting>
  <conditionalFormatting sqref="Q6:T1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{0ACEAD79-44C5-4535-870D-14E3D4043065}</x14:id>
        </ext>
      </extLst>
    </cfRule>
  </conditionalFormatting>
  <conditionalFormatting sqref="U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{6F1ACC78-DCAC-479C-BF5B-5743A207EBC0}</x14:id>
        </ext>
      </extLst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A96E03-0551-4A7C-9994-D8A393E37D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A1:D1 A2:A11</xm:sqref>
        </x14:conditionalFormatting>
        <x14:conditionalFormatting xmlns:xm="http://schemas.microsoft.com/office/excel/2006/main">
          <x14:cfRule type="dataBar" id="{0ACEAD79-44C5-4535-870D-14E3D4043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Q6:T17</xm:sqref>
        </x14:conditionalFormatting>
        <x14:conditionalFormatting xmlns:xm="http://schemas.microsoft.com/office/excel/2006/main">
          <x14:cfRule type="dataBar" id="{6F1ACC78-DCAC-479C-BF5B-5743A207E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0A38-55BE-4309-851B-379D639EE9FC}">
  <sheetPr>
    <tabColor theme="4" tint="-0.249977111117893"/>
  </sheetPr>
  <dimension ref="A1:N116"/>
  <sheetViews>
    <sheetView topLeftCell="B1" workbookViewId="0">
      <selection activeCell="B2" sqref="A2:K11"/>
    </sheetView>
  </sheetViews>
  <sheetFormatPr defaultRowHeight="14.4" x14ac:dyDescent="0.3"/>
  <cols>
    <col min="2" max="2" width="21" customWidth="1"/>
    <col min="3" max="3" width="19.33203125" customWidth="1"/>
    <col min="4" max="4" width="12" customWidth="1"/>
    <col min="5" max="5" width="24.88671875" bestFit="1" customWidth="1"/>
    <col min="7" max="7" width="16.44140625" customWidth="1"/>
    <col min="8" max="8" width="29.21875" bestFit="1" customWidth="1"/>
    <col min="9" max="9" width="20.77734375" customWidth="1"/>
    <col min="10" max="10" width="19.109375" customWidth="1"/>
    <col min="11" max="11" width="12.5546875" bestFit="1" customWidth="1"/>
    <col min="12" max="12" width="9.5546875" bestFit="1" customWidth="1"/>
  </cols>
  <sheetData>
    <row r="1" spans="1:14" ht="15.6" customHeight="1" x14ac:dyDescent="0.3">
      <c r="A1" s="2" t="s">
        <v>69</v>
      </c>
      <c r="B1" s="12" t="s">
        <v>19</v>
      </c>
      <c r="C1" t="s">
        <v>26</v>
      </c>
      <c r="D1" s="2" t="s">
        <v>20</v>
      </c>
      <c r="E1" s="2" t="s">
        <v>41</v>
      </c>
      <c r="F1" s="2" t="s">
        <v>21</v>
      </c>
      <c r="G1" s="2" t="s">
        <v>22</v>
      </c>
      <c r="H1" s="41" t="s">
        <v>23</v>
      </c>
      <c r="I1" s="2" t="s">
        <v>4</v>
      </c>
      <c r="J1" s="14" t="s">
        <v>24</v>
      </c>
      <c r="K1" s="2" t="s">
        <v>37</v>
      </c>
      <c r="L1" s="2" t="s">
        <v>25</v>
      </c>
      <c r="M1" s="2"/>
    </row>
    <row r="2" spans="1:14" ht="15.6" x14ac:dyDescent="0.3">
      <c r="A2">
        <v>1</v>
      </c>
      <c r="B2" s="31" t="s">
        <v>57</v>
      </c>
      <c r="C2" s="30" t="s">
        <v>65</v>
      </c>
      <c r="D2" t="s">
        <v>42</v>
      </c>
      <c r="E2" s="42" t="s">
        <v>62</v>
      </c>
      <c r="F2">
        <v>122</v>
      </c>
      <c r="G2">
        <v>560</v>
      </c>
      <c r="H2" s="30">
        <f>F2*G2</f>
        <v>68320</v>
      </c>
      <c r="I2" s="2"/>
      <c r="J2">
        <f t="shared" ref="J2:J7" si="0">IF(F2&gt;=100,H2*25%,IF(F2&gt;=50,H2*15%,IF(F2&gt;=30,H2*5%,IF(F2&gt;=20,H2*0%))))</f>
        <v>17080</v>
      </c>
      <c r="K2" t="b">
        <f t="shared" ref="K2:K11" si="1">IF(C2="wholesaler",H2*30%,IF(C2="retailer",H2*20%,IF(C2="customer",H2*10%)))</f>
        <v>0</v>
      </c>
      <c r="L2">
        <f>H2-J2</f>
        <v>51240</v>
      </c>
      <c r="M2" t="s">
        <v>36</v>
      </c>
      <c r="N2">
        <v>1</v>
      </c>
    </row>
    <row r="3" spans="1:14" ht="15.6" x14ac:dyDescent="0.3">
      <c r="A3">
        <v>2</v>
      </c>
      <c r="B3" t="s">
        <v>63</v>
      </c>
      <c r="C3" s="30" t="s">
        <v>66</v>
      </c>
      <c r="D3" t="s">
        <v>27</v>
      </c>
      <c r="E3" s="23" t="s">
        <v>43</v>
      </c>
      <c r="F3">
        <v>122</v>
      </c>
      <c r="G3">
        <v>300</v>
      </c>
      <c r="H3" s="30">
        <f t="shared" ref="H3:H11" si="2">F3*G3</f>
        <v>36600</v>
      </c>
      <c r="I3" s="2"/>
      <c r="J3">
        <f t="shared" si="0"/>
        <v>9150</v>
      </c>
      <c r="K3" t="b">
        <f t="shared" si="1"/>
        <v>0</v>
      </c>
      <c r="L3">
        <f t="shared" ref="L3:L4" si="3">H3-J3</f>
        <v>27450</v>
      </c>
      <c r="M3">
        <v>2</v>
      </c>
      <c r="N3">
        <v>1</v>
      </c>
    </row>
    <row r="4" spans="1:14" ht="15.6" x14ac:dyDescent="0.3">
      <c r="A4">
        <v>3</v>
      </c>
      <c r="B4" t="s">
        <v>64</v>
      </c>
      <c r="C4" s="30" t="s">
        <v>67</v>
      </c>
      <c r="D4" t="s">
        <v>28</v>
      </c>
      <c r="E4" s="23" t="s">
        <v>44</v>
      </c>
      <c r="F4">
        <v>33</v>
      </c>
      <c r="G4">
        <v>233</v>
      </c>
      <c r="H4" s="30">
        <f t="shared" si="2"/>
        <v>7689</v>
      </c>
      <c r="I4" s="2"/>
      <c r="J4">
        <f t="shared" si="0"/>
        <v>384.45000000000005</v>
      </c>
      <c r="K4" t="b">
        <f t="shared" si="1"/>
        <v>0</v>
      </c>
      <c r="L4">
        <f t="shared" si="3"/>
        <v>7304.55</v>
      </c>
      <c r="M4">
        <v>3</v>
      </c>
      <c r="N4">
        <v>1</v>
      </c>
    </row>
    <row r="5" spans="1:14" ht="15.6" x14ac:dyDescent="0.3">
      <c r="A5">
        <v>4</v>
      </c>
      <c r="B5" t="s">
        <v>0</v>
      </c>
      <c r="C5" s="30" t="s">
        <v>65</v>
      </c>
      <c r="D5" t="s">
        <v>29</v>
      </c>
      <c r="E5" s="23" t="s">
        <v>45</v>
      </c>
      <c r="F5">
        <v>43</v>
      </c>
      <c r="G5">
        <v>433</v>
      </c>
      <c r="H5" s="30">
        <f t="shared" si="2"/>
        <v>18619</v>
      </c>
      <c r="I5" s="2"/>
      <c r="J5">
        <f t="shared" si="0"/>
        <v>930.95</v>
      </c>
      <c r="K5" t="b">
        <f t="shared" si="1"/>
        <v>0</v>
      </c>
      <c r="L5" t="s">
        <v>37</v>
      </c>
      <c r="M5" s="15"/>
      <c r="N5">
        <v>1</v>
      </c>
    </row>
    <row r="6" spans="1:14" ht="15.6" x14ac:dyDescent="0.3">
      <c r="A6">
        <v>5</v>
      </c>
      <c r="B6" t="s">
        <v>9</v>
      </c>
      <c r="C6" s="30" t="s">
        <v>66</v>
      </c>
      <c r="D6" t="s">
        <v>26</v>
      </c>
      <c r="E6" s="23" t="s">
        <v>46</v>
      </c>
      <c r="F6" s="16">
        <v>87</v>
      </c>
      <c r="G6">
        <v>544</v>
      </c>
      <c r="H6" s="30">
        <f t="shared" si="2"/>
        <v>47328</v>
      </c>
      <c r="I6" s="2"/>
      <c r="J6">
        <f t="shared" si="0"/>
        <v>7099.2</v>
      </c>
      <c r="K6" t="b">
        <f t="shared" si="1"/>
        <v>0</v>
      </c>
      <c r="L6">
        <f t="shared" ref="K6:L13" si="4">H5-J5</f>
        <v>17688.05</v>
      </c>
      <c r="N6">
        <v>1</v>
      </c>
    </row>
    <row r="7" spans="1:14" ht="15.6" x14ac:dyDescent="0.3">
      <c r="A7">
        <v>6</v>
      </c>
      <c r="B7" t="s">
        <v>2</v>
      </c>
      <c r="C7" s="30" t="s">
        <v>67</v>
      </c>
      <c r="D7" t="s">
        <v>27</v>
      </c>
      <c r="E7" s="23" t="s">
        <v>47</v>
      </c>
      <c r="F7">
        <v>9</v>
      </c>
      <c r="G7">
        <v>543</v>
      </c>
      <c r="H7" s="30">
        <f t="shared" si="2"/>
        <v>4887</v>
      </c>
      <c r="I7" s="2"/>
      <c r="J7" t="b">
        <f t="shared" si="0"/>
        <v>0</v>
      </c>
      <c r="K7" t="b">
        <f t="shared" si="1"/>
        <v>0</v>
      </c>
      <c r="L7">
        <f t="shared" si="4"/>
        <v>40228.800000000003</v>
      </c>
      <c r="N7">
        <v>1</v>
      </c>
    </row>
    <row r="8" spans="1:14" ht="15.6" x14ac:dyDescent="0.3">
      <c r="A8">
        <v>7</v>
      </c>
      <c r="B8" t="s">
        <v>10</v>
      </c>
      <c r="C8" s="30" t="s">
        <v>65</v>
      </c>
      <c r="D8" t="s">
        <v>28</v>
      </c>
      <c r="E8" s="23" t="s">
        <v>48</v>
      </c>
      <c r="F8">
        <v>76</v>
      </c>
      <c r="G8">
        <v>988</v>
      </c>
      <c r="H8" s="30">
        <f t="shared" si="2"/>
        <v>75088</v>
      </c>
      <c r="I8" s="2"/>
      <c r="K8" t="b">
        <f t="shared" si="1"/>
        <v>0</v>
      </c>
      <c r="L8">
        <f t="shared" si="4"/>
        <v>4887</v>
      </c>
      <c r="N8">
        <v>1</v>
      </c>
    </row>
    <row r="9" spans="1:14" ht="15.6" x14ac:dyDescent="0.3">
      <c r="A9">
        <v>8</v>
      </c>
      <c r="B9" t="s">
        <v>14</v>
      </c>
      <c r="C9" s="30" t="s">
        <v>66</v>
      </c>
      <c r="D9" t="s">
        <v>29</v>
      </c>
      <c r="E9" s="23" t="s">
        <v>49</v>
      </c>
      <c r="F9">
        <v>45</v>
      </c>
      <c r="G9">
        <v>900</v>
      </c>
      <c r="H9" s="30">
        <f t="shared" si="2"/>
        <v>40500</v>
      </c>
      <c r="I9" s="2"/>
      <c r="J9">
        <f>IF(F9&gt;=100,H9*25%,IF(F9&gt;=50,H9*15%,IF(F9&gt;=30,H9*5%,IF(F9&gt;=20,H9*0%))))</f>
        <v>2025</v>
      </c>
      <c r="K9" t="b">
        <f t="shared" si="1"/>
        <v>0</v>
      </c>
      <c r="L9">
        <f t="shared" si="4"/>
        <v>75088</v>
      </c>
      <c r="N9">
        <v>1</v>
      </c>
    </row>
    <row r="10" spans="1:14" ht="15.6" x14ac:dyDescent="0.3">
      <c r="A10">
        <v>9</v>
      </c>
      <c r="B10" t="s">
        <v>15</v>
      </c>
      <c r="C10" s="30" t="s">
        <v>67</v>
      </c>
      <c r="D10" t="s">
        <v>26</v>
      </c>
      <c r="E10" s="23" t="s">
        <v>50</v>
      </c>
      <c r="F10">
        <v>766</v>
      </c>
      <c r="G10">
        <v>980</v>
      </c>
      <c r="H10" s="30">
        <f t="shared" si="2"/>
        <v>750680</v>
      </c>
      <c r="I10" s="2"/>
      <c r="J10">
        <f>IF(F10&gt;=100,H10*25%,IF(F10&gt;=50,H10*15%,IF(F10&gt;=30,H10*5%,IF(F10&gt;=20,H10*0%))))</f>
        <v>187670</v>
      </c>
      <c r="K10" t="b">
        <f t="shared" si="1"/>
        <v>0</v>
      </c>
      <c r="L10">
        <f t="shared" si="4"/>
        <v>38475</v>
      </c>
      <c r="N10">
        <v>1</v>
      </c>
    </row>
    <row r="11" spans="1:14" ht="15.6" x14ac:dyDescent="0.3">
      <c r="A11">
        <v>10</v>
      </c>
      <c r="B11" t="s">
        <v>16</v>
      </c>
      <c r="C11" s="30" t="s">
        <v>65</v>
      </c>
      <c r="D11" t="s">
        <v>27</v>
      </c>
      <c r="E11" s="23" t="s">
        <v>51</v>
      </c>
      <c r="F11">
        <v>76</v>
      </c>
      <c r="G11">
        <v>800</v>
      </c>
      <c r="H11" s="30">
        <f t="shared" si="2"/>
        <v>60800</v>
      </c>
      <c r="I11" s="2">
        <f>SUM(Table3[[#This Row],[QTY]:[TOTAL AMOUNT]])</f>
        <v>61676</v>
      </c>
      <c r="J11">
        <f>IF(F11&gt;=100,H11*25%,IF(F11&gt;=50,H11*15%,IF(F11&gt;=30,H11*5%,IF(F11&gt;=20,H11*0%))))</f>
        <v>9120</v>
      </c>
      <c r="K11" t="b">
        <f t="shared" si="1"/>
        <v>0</v>
      </c>
      <c r="L11">
        <f t="shared" si="4"/>
        <v>563010</v>
      </c>
      <c r="N11">
        <v>1</v>
      </c>
    </row>
    <row r="12" spans="1:14" x14ac:dyDescent="0.3">
      <c r="H12" s="30"/>
      <c r="J12" s="16"/>
      <c r="K12">
        <f>H11-J11</f>
        <v>51680</v>
      </c>
      <c r="M12">
        <v>1</v>
      </c>
    </row>
    <row r="13" spans="1:14" x14ac:dyDescent="0.3">
      <c r="J13" s="16"/>
      <c r="K13">
        <f t="shared" si="4"/>
        <v>0</v>
      </c>
      <c r="M13">
        <v>1</v>
      </c>
    </row>
    <row r="14" spans="1:14" x14ac:dyDescent="0.3">
      <c r="H14" t="s">
        <v>52</v>
      </c>
      <c r="J14" s="16"/>
      <c r="M14">
        <v>1</v>
      </c>
    </row>
    <row r="15" spans="1:14" ht="15.6" x14ac:dyDescent="0.3">
      <c r="H15" s="27" t="s">
        <v>62</v>
      </c>
      <c r="I15" s="26" t="s">
        <v>57</v>
      </c>
      <c r="J15" s="16" t="s">
        <v>32</v>
      </c>
      <c r="M15">
        <v>1</v>
      </c>
    </row>
    <row r="16" spans="1:14" ht="15.6" x14ac:dyDescent="0.3">
      <c r="B16" s="2" t="s">
        <v>30</v>
      </c>
      <c r="C16" s="2"/>
      <c r="D16" s="2"/>
      <c r="E16" s="2" t="s">
        <v>31</v>
      </c>
      <c r="F16" s="2"/>
      <c r="H16" s="25" t="s">
        <v>43</v>
      </c>
      <c r="I16" t="s">
        <v>53</v>
      </c>
      <c r="J16" s="16"/>
      <c r="M16">
        <v>1</v>
      </c>
    </row>
    <row r="17" spans="2:13" ht="15.6" x14ac:dyDescent="0.3">
      <c r="B17">
        <v>100</v>
      </c>
      <c r="C17">
        <v>87</v>
      </c>
      <c r="D17" s="32">
        <f t="shared" ref="D17:D26" si="5">B17*C17</f>
        <v>8700</v>
      </c>
      <c r="E17" s="3">
        <v>0.25</v>
      </c>
      <c r="H17" s="24" t="s">
        <v>44</v>
      </c>
      <c r="I17" t="s">
        <v>54</v>
      </c>
      <c r="J17" s="16"/>
      <c r="M17">
        <v>1</v>
      </c>
    </row>
    <row r="18" spans="2:13" ht="15.6" x14ac:dyDescent="0.3">
      <c r="B18">
        <v>50</v>
      </c>
      <c r="D18" s="33">
        <f t="shared" si="5"/>
        <v>0</v>
      </c>
      <c r="E18" s="3">
        <v>0.15</v>
      </c>
      <c r="H18" s="25" t="s">
        <v>45</v>
      </c>
      <c r="I18" t="s">
        <v>55</v>
      </c>
      <c r="J18" s="16"/>
      <c r="M18">
        <v>1</v>
      </c>
    </row>
    <row r="19" spans="2:13" ht="15.6" x14ac:dyDescent="0.3">
      <c r="B19">
        <v>30</v>
      </c>
      <c r="D19" s="32">
        <f t="shared" si="5"/>
        <v>0</v>
      </c>
      <c r="E19" s="3">
        <v>0.05</v>
      </c>
      <c r="H19" s="24" t="s">
        <v>46</v>
      </c>
      <c r="I19" t="s">
        <v>56</v>
      </c>
      <c r="J19" s="16"/>
      <c r="M19">
        <v>1</v>
      </c>
    </row>
    <row r="20" spans="2:13" ht="15.6" x14ac:dyDescent="0.3">
      <c r="B20">
        <v>20</v>
      </c>
      <c r="D20" s="33">
        <f t="shared" si="5"/>
        <v>0</v>
      </c>
      <c r="E20" s="3">
        <v>0</v>
      </c>
      <c r="H20" s="25" t="s">
        <v>47</v>
      </c>
      <c r="I20" t="s">
        <v>57</v>
      </c>
      <c r="J20" s="16" t="s">
        <v>34</v>
      </c>
      <c r="M20">
        <v>1</v>
      </c>
    </row>
    <row r="21" spans="2:13" ht="15.6" x14ac:dyDescent="0.3">
      <c r="D21" s="32">
        <f t="shared" si="5"/>
        <v>0</v>
      </c>
      <c r="H21" s="24" t="s">
        <v>48</v>
      </c>
      <c r="I21" t="s">
        <v>58</v>
      </c>
      <c r="J21" s="16" t="s">
        <v>33</v>
      </c>
    </row>
    <row r="22" spans="2:13" ht="15.6" x14ac:dyDescent="0.3">
      <c r="D22" s="33">
        <f t="shared" si="5"/>
        <v>0</v>
      </c>
      <c r="H22" s="25" t="s">
        <v>49</v>
      </c>
      <c r="I22" t="s">
        <v>59</v>
      </c>
      <c r="J22" s="16"/>
    </row>
    <row r="23" spans="2:13" ht="15.6" x14ac:dyDescent="0.3">
      <c r="D23" s="32">
        <f t="shared" si="5"/>
        <v>0</v>
      </c>
      <c r="H23" s="24" t="s">
        <v>50</v>
      </c>
      <c r="I23" t="s">
        <v>60</v>
      </c>
      <c r="J23" s="16"/>
    </row>
    <row r="24" spans="2:13" ht="15.6" x14ac:dyDescent="0.3">
      <c r="D24" s="33">
        <f t="shared" si="5"/>
        <v>0</v>
      </c>
      <c r="G24" t="s">
        <v>37</v>
      </c>
      <c r="H24" s="25" t="s">
        <v>51</v>
      </c>
      <c r="I24" t="s">
        <v>61</v>
      </c>
      <c r="J24" s="16"/>
    </row>
    <row r="25" spans="2:13" x14ac:dyDescent="0.3">
      <c r="D25" s="32">
        <f t="shared" si="5"/>
        <v>0</v>
      </c>
    </row>
    <row r="26" spans="2:13" x14ac:dyDescent="0.3">
      <c r="D26" s="33">
        <f t="shared" si="5"/>
        <v>0</v>
      </c>
    </row>
    <row r="30" spans="2:13" x14ac:dyDescent="0.3">
      <c r="H30">
        <v>21</v>
      </c>
      <c r="I30">
        <v>21</v>
      </c>
      <c r="J30" s="41" t="s">
        <v>23</v>
      </c>
    </row>
    <row r="31" spans="2:13" x14ac:dyDescent="0.3">
      <c r="E31" s="32"/>
      <c r="H31">
        <v>21</v>
      </c>
      <c r="I31">
        <v>12</v>
      </c>
      <c r="J31" s="30">
        <f>H31*I31</f>
        <v>252</v>
      </c>
    </row>
    <row r="32" spans="2:13" x14ac:dyDescent="0.3">
      <c r="E32" s="33"/>
      <c r="J32" s="30">
        <f t="shared" ref="J32:J40" si="6">H32*I32</f>
        <v>0</v>
      </c>
    </row>
    <row r="33" spans="5:10" x14ac:dyDescent="0.3">
      <c r="E33" s="32"/>
      <c r="J33" s="30">
        <f t="shared" si="6"/>
        <v>0</v>
      </c>
    </row>
    <row r="34" spans="5:10" x14ac:dyDescent="0.3">
      <c r="E34" s="33"/>
      <c r="J34" s="30">
        <f t="shared" si="6"/>
        <v>0</v>
      </c>
    </row>
    <row r="35" spans="5:10" x14ac:dyDescent="0.3">
      <c r="E35" s="32"/>
      <c r="J35" s="30">
        <f t="shared" si="6"/>
        <v>0</v>
      </c>
    </row>
    <row r="36" spans="5:10" x14ac:dyDescent="0.3">
      <c r="E36" s="33"/>
      <c r="J36" s="30">
        <f t="shared" si="6"/>
        <v>0</v>
      </c>
    </row>
    <row r="37" spans="5:10" x14ac:dyDescent="0.3">
      <c r="E37" s="32"/>
      <c r="J37" s="30">
        <f t="shared" si="6"/>
        <v>0</v>
      </c>
    </row>
    <row r="38" spans="5:10" x14ac:dyDescent="0.3">
      <c r="E38" s="33"/>
      <c r="J38" s="30">
        <f t="shared" si="6"/>
        <v>0</v>
      </c>
    </row>
    <row r="39" spans="5:10" x14ac:dyDescent="0.3">
      <c r="E39" s="32"/>
      <c r="J39" s="30">
        <f t="shared" si="6"/>
        <v>0</v>
      </c>
    </row>
    <row r="40" spans="5:10" x14ac:dyDescent="0.3">
      <c r="E40" s="33"/>
      <c r="J40" s="30">
        <f t="shared" si="6"/>
        <v>0</v>
      </c>
    </row>
    <row r="41" spans="5:10" x14ac:dyDescent="0.3">
      <c r="J41" s="30"/>
    </row>
    <row r="51" spans="1:3" x14ac:dyDescent="0.3">
      <c r="A51" t="s">
        <v>72</v>
      </c>
      <c r="B51" s="32">
        <v>122</v>
      </c>
      <c r="C51" s="32">
        <v>560</v>
      </c>
    </row>
    <row r="52" spans="1:3" x14ac:dyDescent="0.3">
      <c r="A52" t="s">
        <v>38</v>
      </c>
      <c r="B52" s="33">
        <v>122</v>
      </c>
      <c r="C52" s="33">
        <v>300</v>
      </c>
    </row>
    <row r="53" spans="1:3" x14ac:dyDescent="0.3">
      <c r="A53" t="s">
        <v>73</v>
      </c>
      <c r="B53" s="32">
        <v>33</v>
      </c>
      <c r="C53" s="32">
        <v>233</v>
      </c>
    </row>
    <row r="54" spans="1:3" x14ac:dyDescent="0.3">
      <c r="A54" t="s">
        <v>72</v>
      </c>
      <c r="B54" s="33">
        <v>43</v>
      </c>
      <c r="C54" s="33">
        <v>433</v>
      </c>
    </row>
    <row r="55" spans="1:3" x14ac:dyDescent="0.3">
      <c r="A55" t="s">
        <v>38</v>
      </c>
      <c r="B55" s="32">
        <v>87</v>
      </c>
      <c r="C55" s="32">
        <v>544</v>
      </c>
    </row>
    <row r="56" spans="1:3" x14ac:dyDescent="0.3">
      <c r="A56" t="s">
        <v>73</v>
      </c>
      <c r="B56" s="33">
        <v>9</v>
      </c>
      <c r="C56" s="33">
        <v>543</v>
      </c>
    </row>
    <row r="57" spans="1:3" x14ac:dyDescent="0.3">
      <c r="A57" t="s">
        <v>72</v>
      </c>
      <c r="B57" s="32">
        <v>76</v>
      </c>
      <c r="C57" s="32">
        <v>988</v>
      </c>
    </row>
    <row r="58" spans="1:3" x14ac:dyDescent="0.3">
      <c r="A58" t="s">
        <v>38</v>
      </c>
      <c r="B58" s="33">
        <v>45</v>
      </c>
      <c r="C58" s="33">
        <v>900</v>
      </c>
    </row>
    <row r="59" spans="1:3" x14ac:dyDescent="0.3">
      <c r="A59" t="s">
        <v>73</v>
      </c>
      <c r="B59" s="32">
        <v>766</v>
      </c>
      <c r="C59" s="32">
        <v>980</v>
      </c>
    </row>
    <row r="60" spans="1:3" x14ac:dyDescent="0.3">
      <c r="A60" t="s">
        <v>72</v>
      </c>
      <c r="B60" s="33">
        <v>76</v>
      </c>
      <c r="C60" s="33">
        <v>800</v>
      </c>
    </row>
    <row r="66" spans="2:12" ht="15.6" x14ac:dyDescent="0.3">
      <c r="B66" s="32">
        <v>1</v>
      </c>
      <c r="C66" s="44" t="s">
        <v>57</v>
      </c>
      <c r="D66" s="35" t="s">
        <v>65</v>
      </c>
      <c r="E66" s="32" t="s">
        <v>42</v>
      </c>
      <c r="F66" s="45" t="s">
        <v>62</v>
      </c>
      <c r="G66" s="32">
        <v>122</v>
      </c>
      <c r="H66" s="32">
        <v>560</v>
      </c>
      <c r="I66" s="35">
        <f>G66*H66</f>
        <v>68320</v>
      </c>
      <c r="J66" s="37"/>
      <c r="K66" s="32">
        <f t="shared" ref="K66:K71" si="7">IF(G66&gt;=100,I66*25%,IF(G66&gt;=50,I66*15%,IF(G66&gt;=30,I66*5%,IF(G66&gt;=20,I66*0%))))</f>
        <v>17080</v>
      </c>
      <c r="L66" s="32" t="b">
        <f t="shared" ref="L66:L75" si="8">IF(D66="wholesaler",I66*30%,IF(D66="retailer",I66*20%,IF(D66="customer",I66*10%)))</f>
        <v>0</v>
      </c>
    </row>
    <row r="67" spans="2:12" ht="15.6" x14ac:dyDescent="0.3">
      <c r="B67" s="33">
        <v>2</v>
      </c>
      <c r="C67" s="33" t="s">
        <v>63</v>
      </c>
      <c r="D67" s="38" t="s">
        <v>66</v>
      </c>
      <c r="E67" s="33" t="s">
        <v>27</v>
      </c>
      <c r="F67" s="25" t="s">
        <v>43</v>
      </c>
      <c r="G67" s="33">
        <v>122</v>
      </c>
      <c r="H67" s="33">
        <v>300</v>
      </c>
      <c r="I67" s="38">
        <f t="shared" ref="I67:I75" si="9">G67*H67</f>
        <v>36600</v>
      </c>
      <c r="J67" s="37"/>
      <c r="K67" s="33">
        <f t="shared" si="7"/>
        <v>9150</v>
      </c>
      <c r="L67" s="33" t="b">
        <f t="shared" si="8"/>
        <v>0</v>
      </c>
    </row>
    <row r="68" spans="2:12" ht="15.6" x14ac:dyDescent="0.3">
      <c r="B68" s="32">
        <v>3</v>
      </c>
      <c r="C68" s="32" t="s">
        <v>64</v>
      </c>
      <c r="D68" s="35" t="s">
        <v>67</v>
      </c>
      <c r="E68" s="32" t="s">
        <v>28</v>
      </c>
      <c r="F68" s="24" t="s">
        <v>44</v>
      </c>
      <c r="G68" s="32">
        <v>33</v>
      </c>
      <c r="H68" s="32">
        <v>233</v>
      </c>
      <c r="I68" s="35">
        <f t="shared" si="9"/>
        <v>7689</v>
      </c>
      <c r="J68" s="37"/>
      <c r="K68" s="32">
        <f t="shared" si="7"/>
        <v>384.45000000000005</v>
      </c>
      <c r="L68" s="32" t="b">
        <f t="shared" si="8"/>
        <v>0</v>
      </c>
    </row>
    <row r="69" spans="2:12" ht="15.6" x14ac:dyDescent="0.3">
      <c r="B69" s="33">
        <v>4</v>
      </c>
      <c r="C69" s="33" t="s">
        <v>0</v>
      </c>
      <c r="D69" s="38" t="s">
        <v>65</v>
      </c>
      <c r="E69" s="33" t="s">
        <v>29</v>
      </c>
      <c r="F69" s="25" t="s">
        <v>45</v>
      </c>
      <c r="G69" s="33">
        <v>43</v>
      </c>
      <c r="H69" s="33">
        <v>433</v>
      </c>
      <c r="I69" s="38">
        <f t="shared" si="9"/>
        <v>18619</v>
      </c>
      <c r="J69" s="37"/>
      <c r="K69" s="33">
        <f t="shared" si="7"/>
        <v>930.95</v>
      </c>
      <c r="L69" s="33" t="b">
        <f t="shared" si="8"/>
        <v>0</v>
      </c>
    </row>
    <row r="70" spans="2:12" ht="15.6" x14ac:dyDescent="0.3">
      <c r="B70" s="32">
        <v>5</v>
      </c>
      <c r="C70" s="32" t="s">
        <v>9</v>
      </c>
      <c r="D70" s="35" t="s">
        <v>66</v>
      </c>
      <c r="E70" s="32" t="s">
        <v>26</v>
      </c>
      <c r="F70" s="24" t="s">
        <v>46</v>
      </c>
      <c r="G70" s="32">
        <v>87</v>
      </c>
      <c r="H70" s="32">
        <v>544</v>
      </c>
      <c r="I70" s="35">
        <f t="shared" si="9"/>
        <v>47328</v>
      </c>
      <c r="J70" s="37"/>
      <c r="K70" s="32">
        <f t="shared" si="7"/>
        <v>7099.2</v>
      </c>
      <c r="L70" s="32" t="b">
        <f t="shared" si="8"/>
        <v>0</v>
      </c>
    </row>
    <row r="71" spans="2:12" ht="15.6" x14ac:dyDescent="0.3">
      <c r="B71" s="33">
        <v>6</v>
      </c>
      <c r="C71" s="33" t="s">
        <v>2</v>
      </c>
      <c r="D71" s="38" t="s">
        <v>67</v>
      </c>
      <c r="E71" s="33" t="s">
        <v>27</v>
      </c>
      <c r="F71" s="25" t="s">
        <v>47</v>
      </c>
      <c r="G71" s="33">
        <v>9</v>
      </c>
      <c r="H71" s="33">
        <v>543</v>
      </c>
      <c r="I71" s="38">
        <f t="shared" si="9"/>
        <v>4887</v>
      </c>
      <c r="J71" s="37"/>
      <c r="K71" s="33" t="b">
        <f t="shared" si="7"/>
        <v>0</v>
      </c>
      <c r="L71" s="33" t="b">
        <f t="shared" si="8"/>
        <v>0</v>
      </c>
    </row>
    <row r="72" spans="2:12" ht="15.6" x14ac:dyDescent="0.3">
      <c r="B72" s="32">
        <v>7</v>
      </c>
      <c r="C72" s="32" t="s">
        <v>10</v>
      </c>
      <c r="D72" s="35" t="s">
        <v>65</v>
      </c>
      <c r="E72" s="32" t="s">
        <v>28</v>
      </c>
      <c r="F72" s="24" t="s">
        <v>48</v>
      </c>
      <c r="G72" s="32">
        <v>76</v>
      </c>
      <c r="H72" s="32">
        <v>988</v>
      </c>
      <c r="I72" s="35">
        <f t="shared" si="9"/>
        <v>75088</v>
      </c>
      <c r="J72" s="37"/>
      <c r="K72" s="32"/>
      <c r="L72" s="32" t="b">
        <f t="shared" si="8"/>
        <v>0</v>
      </c>
    </row>
    <row r="73" spans="2:12" ht="15.6" x14ac:dyDescent="0.3">
      <c r="B73" s="33">
        <v>8</v>
      </c>
      <c r="C73" s="33" t="s">
        <v>14</v>
      </c>
      <c r="D73" s="38" t="s">
        <v>66</v>
      </c>
      <c r="E73" s="33" t="s">
        <v>29</v>
      </c>
      <c r="F73" s="25" t="s">
        <v>49</v>
      </c>
      <c r="G73" s="33">
        <v>45</v>
      </c>
      <c r="H73" s="33">
        <v>900</v>
      </c>
      <c r="I73" s="38">
        <f t="shared" si="9"/>
        <v>40500</v>
      </c>
      <c r="J73" s="37"/>
      <c r="K73" s="33">
        <f>IF(G73&gt;=100,I73*25%,IF(G73&gt;=50,I73*15%,IF(G73&gt;=30,I73*5%,IF(G73&gt;=20,I73*0%))))</f>
        <v>2025</v>
      </c>
      <c r="L73" s="33" t="b">
        <f t="shared" si="8"/>
        <v>0</v>
      </c>
    </row>
    <row r="74" spans="2:12" ht="15.6" x14ac:dyDescent="0.3">
      <c r="B74" s="32">
        <v>9</v>
      </c>
      <c r="C74" s="32" t="s">
        <v>15</v>
      </c>
      <c r="D74" s="35" t="s">
        <v>67</v>
      </c>
      <c r="E74" s="32" t="s">
        <v>26</v>
      </c>
      <c r="F74" s="24" t="s">
        <v>50</v>
      </c>
      <c r="G74" s="32">
        <v>766</v>
      </c>
      <c r="H74" s="32">
        <v>980</v>
      </c>
      <c r="I74" s="35">
        <f t="shared" si="9"/>
        <v>750680</v>
      </c>
      <c r="J74" s="37"/>
      <c r="K74" s="32">
        <f>IF(G74&gt;=100,I74*25%,IF(G74&gt;=50,I74*15%,IF(G74&gt;=30,I74*5%,IF(G74&gt;=20,I74*0%))))</f>
        <v>187670</v>
      </c>
      <c r="L74" s="32" t="b">
        <f t="shared" si="8"/>
        <v>0</v>
      </c>
    </row>
    <row r="75" spans="2:12" ht="15.6" x14ac:dyDescent="0.3">
      <c r="B75" s="33">
        <v>10</v>
      </c>
      <c r="C75" s="33" t="s">
        <v>16</v>
      </c>
      <c r="D75" s="38" t="s">
        <v>65</v>
      </c>
      <c r="E75" s="33" t="s">
        <v>27</v>
      </c>
      <c r="F75" s="25" t="s">
        <v>51</v>
      </c>
      <c r="G75" s="33">
        <v>76</v>
      </c>
      <c r="H75" s="33">
        <v>800</v>
      </c>
      <c r="I75" s="38">
        <f t="shared" si="9"/>
        <v>60800</v>
      </c>
      <c r="J75" s="37" t="e">
        <f>SUM(Table3[[#This Row],[QTY]:[TOTAL AMOUNT]])</f>
        <v>#VALUE!</v>
      </c>
      <c r="K75" s="33">
        <f>IF(G75&gt;=100,I75*25%,IF(G75&gt;=50,I75*15%,IF(G75&gt;=30,I75*5%,IF(G75&gt;=20,I75*0%))))</f>
        <v>9120</v>
      </c>
      <c r="L75" s="33" t="b">
        <f t="shared" si="8"/>
        <v>0</v>
      </c>
    </row>
    <row r="79" spans="2:12" ht="15.6" x14ac:dyDescent="0.3">
      <c r="B79" s="46">
        <v>1</v>
      </c>
      <c r="C79" s="31" t="s">
        <v>57</v>
      </c>
      <c r="D79" s="47" t="s">
        <v>65</v>
      </c>
      <c r="E79" s="46" t="s">
        <v>42</v>
      </c>
      <c r="F79" s="42" t="s">
        <v>62</v>
      </c>
      <c r="G79" s="46">
        <v>122</v>
      </c>
      <c r="H79" s="46">
        <v>560</v>
      </c>
      <c r="I79" s="47">
        <f>G79*H79</f>
        <v>68320</v>
      </c>
      <c r="J79" s="2"/>
      <c r="K79" s="46">
        <f t="shared" ref="K79:K84" si="10">IF(G79&gt;=100,I79*25%,IF(G79&gt;=50,I79*15%,IF(G79&gt;=30,I79*5%,IF(G79&gt;=20,I79*0%))))</f>
        <v>17080</v>
      </c>
      <c r="L79" s="46" t="b">
        <f t="shared" ref="L79:L88" si="11">IF(D79="wholesaler",I79*30%,IF(D79="retailer",I79*20%,IF(D79="customer",I79*10%)))</f>
        <v>0</v>
      </c>
    </row>
    <row r="80" spans="2:12" ht="15.6" x14ac:dyDescent="0.3">
      <c r="B80">
        <v>2</v>
      </c>
      <c r="C80" t="s">
        <v>63</v>
      </c>
      <c r="D80" s="47" t="s">
        <v>65</v>
      </c>
      <c r="E80" t="s">
        <v>27</v>
      </c>
      <c r="F80" s="23" t="s">
        <v>43</v>
      </c>
      <c r="G80">
        <v>122</v>
      </c>
      <c r="H80">
        <v>300</v>
      </c>
      <c r="I80" s="48">
        <f t="shared" ref="I80:I88" si="12">G80*H80</f>
        <v>36600</v>
      </c>
      <c r="J80" s="2"/>
      <c r="K80">
        <f t="shared" si="10"/>
        <v>9150</v>
      </c>
      <c r="L80" t="b">
        <f t="shared" si="11"/>
        <v>0</v>
      </c>
    </row>
    <row r="81" spans="2:12" ht="15.6" x14ac:dyDescent="0.3">
      <c r="B81" s="46">
        <v>3</v>
      </c>
      <c r="C81" s="46" t="s">
        <v>64</v>
      </c>
      <c r="D81" s="47" t="s">
        <v>67</v>
      </c>
      <c r="E81" s="46" t="s">
        <v>28</v>
      </c>
      <c r="F81" s="49" t="s">
        <v>44</v>
      </c>
      <c r="G81" s="46">
        <v>33</v>
      </c>
      <c r="H81" s="46">
        <v>233</v>
      </c>
      <c r="I81" s="47">
        <f t="shared" si="12"/>
        <v>7689</v>
      </c>
      <c r="J81" s="2"/>
      <c r="K81" s="46">
        <f t="shared" si="10"/>
        <v>384.45000000000005</v>
      </c>
      <c r="L81" s="46" t="b">
        <f t="shared" si="11"/>
        <v>0</v>
      </c>
    </row>
    <row r="82" spans="2:12" ht="15.6" x14ac:dyDescent="0.3">
      <c r="B82">
        <v>4</v>
      </c>
      <c r="C82" t="s">
        <v>0</v>
      </c>
      <c r="D82" s="48" t="s">
        <v>65</v>
      </c>
      <c r="E82" t="s">
        <v>29</v>
      </c>
      <c r="F82" s="23" t="s">
        <v>45</v>
      </c>
      <c r="G82">
        <v>43</v>
      </c>
      <c r="H82">
        <v>433</v>
      </c>
      <c r="I82" s="48">
        <f t="shared" si="12"/>
        <v>18619</v>
      </c>
      <c r="J82" s="2"/>
      <c r="K82">
        <f t="shared" si="10"/>
        <v>930.95</v>
      </c>
      <c r="L82" t="b">
        <f t="shared" si="11"/>
        <v>0</v>
      </c>
    </row>
    <row r="83" spans="2:12" ht="15.6" x14ac:dyDescent="0.3">
      <c r="B83" s="46">
        <v>5</v>
      </c>
      <c r="C83" s="46" t="s">
        <v>9</v>
      </c>
      <c r="D83" s="47" t="s">
        <v>66</v>
      </c>
      <c r="E83" s="46" t="s">
        <v>26</v>
      </c>
      <c r="F83" s="49" t="s">
        <v>46</v>
      </c>
      <c r="G83" s="46">
        <v>87</v>
      </c>
      <c r="H83" s="46">
        <v>544</v>
      </c>
      <c r="I83" s="47">
        <f t="shared" si="12"/>
        <v>47328</v>
      </c>
      <c r="J83" s="2"/>
      <c r="K83" s="46">
        <f t="shared" si="10"/>
        <v>7099.2</v>
      </c>
      <c r="L83" s="46" t="b">
        <f t="shared" si="11"/>
        <v>0</v>
      </c>
    </row>
    <row r="84" spans="2:12" ht="15.6" x14ac:dyDescent="0.3">
      <c r="B84">
        <v>6</v>
      </c>
      <c r="C84" t="s">
        <v>2</v>
      </c>
      <c r="D84" s="48" t="s">
        <v>67</v>
      </c>
      <c r="E84" t="s">
        <v>27</v>
      </c>
      <c r="F84" s="23" t="s">
        <v>47</v>
      </c>
      <c r="G84">
        <v>9</v>
      </c>
      <c r="H84">
        <v>543</v>
      </c>
      <c r="I84" s="48">
        <f t="shared" si="12"/>
        <v>4887</v>
      </c>
      <c r="J84" s="2"/>
      <c r="K84" t="b">
        <f t="shared" si="10"/>
        <v>0</v>
      </c>
      <c r="L84" t="b">
        <f t="shared" si="11"/>
        <v>0</v>
      </c>
    </row>
    <row r="85" spans="2:12" ht="15.6" x14ac:dyDescent="0.3">
      <c r="B85" s="46">
        <v>7</v>
      </c>
      <c r="C85" s="46" t="s">
        <v>10</v>
      </c>
      <c r="D85" s="47" t="s">
        <v>65</v>
      </c>
      <c r="E85" s="46" t="s">
        <v>28</v>
      </c>
      <c r="F85" s="49" t="s">
        <v>48</v>
      </c>
      <c r="G85" s="46">
        <v>76</v>
      </c>
      <c r="H85" s="46">
        <v>988</v>
      </c>
      <c r="I85" s="47">
        <f t="shared" si="12"/>
        <v>75088</v>
      </c>
      <c r="J85" s="2"/>
      <c r="K85" s="46"/>
      <c r="L85" s="46" t="b">
        <f t="shared" si="11"/>
        <v>0</v>
      </c>
    </row>
    <row r="86" spans="2:12" ht="15.6" x14ac:dyDescent="0.3">
      <c r="B86">
        <v>8</v>
      </c>
      <c r="C86" t="s">
        <v>14</v>
      </c>
      <c r="D86" s="48" t="s">
        <v>66</v>
      </c>
      <c r="E86" t="s">
        <v>29</v>
      </c>
      <c r="F86" s="23" t="s">
        <v>49</v>
      </c>
      <c r="G86">
        <v>45</v>
      </c>
      <c r="H86">
        <v>900</v>
      </c>
      <c r="I86" s="48">
        <f t="shared" si="12"/>
        <v>40500</v>
      </c>
      <c r="J86" s="2"/>
      <c r="K86">
        <f>IF(G86&gt;=100,I86*25%,IF(G86&gt;=50,I86*15%,IF(G86&gt;=30,I86*5%,IF(G86&gt;=20,I86*0%))))</f>
        <v>2025</v>
      </c>
      <c r="L86" t="b">
        <f t="shared" si="11"/>
        <v>0</v>
      </c>
    </row>
    <row r="87" spans="2:12" ht="15.6" x14ac:dyDescent="0.3">
      <c r="B87" s="46">
        <v>9</v>
      </c>
      <c r="C87" s="46" t="s">
        <v>15</v>
      </c>
      <c r="D87" s="47" t="s">
        <v>67</v>
      </c>
      <c r="E87" s="46" t="s">
        <v>26</v>
      </c>
      <c r="F87" s="49" t="s">
        <v>50</v>
      </c>
      <c r="G87" s="46">
        <v>766</v>
      </c>
      <c r="H87" s="46">
        <v>980</v>
      </c>
      <c r="I87" s="47">
        <f t="shared" si="12"/>
        <v>750680</v>
      </c>
      <c r="J87" s="2"/>
      <c r="K87" s="46">
        <f>IF(G87&gt;=100,I87*25%,IF(G87&gt;=50,I87*15%,IF(G87&gt;=30,I87*5%,IF(G87&gt;=20,I87*0%))))</f>
        <v>187670</v>
      </c>
      <c r="L87" s="46" t="b">
        <f t="shared" si="11"/>
        <v>0</v>
      </c>
    </row>
    <row r="88" spans="2:12" ht="15.6" x14ac:dyDescent="0.3">
      <c r="B88">
        <v>10</v>
      </c>
      <c r="C88" t="s">
        <v>16</v>
      </c>
      <c r="D88" s="48" t="s">
        <v>65</v>
      </c>
      <c r="E88" t="s">
        <v>27</v>
      </c>
      <c r="F88" s="23" t="s">
        <v>51</v>
      </c>
      <c r="G88">
        <v>76</v>
      </c>
      <c r="H88">
        <v>800</v>
      </c>
      <c r="I88" s="48">
        <f t="shared" si="12"/>
        <v>60800</v>
      </c>
      <c r="J88" s="2" t="e">
        <f>SUM(Table3[[#This Row],[QTY]:[TOTAL AMOUNT]])</f>
        <v>#VALUE!</v>
      </c>
      <c r="K88">
        <f>IF(G88&gt;=100,I88*25%,IF(G88&gt;=50,I88*15%,IF(G88&gt;=30,I88*5%,IF(G88&gt;=20,I88*0%))))</f>
        <v>9120</v>
      </c>
      <c r="L88" t="b">
        <f t="shared" si="11"/>
        <v>0</v>
      </c>
    </row>
    <row r="91" spans="2:12" ht="15.6" x14ac:dyDescent="0.3">
      <c r="B91" s="32">
        <v>1</v>
      </c>
      <c r="C91" s="44" t="s">
        <v>57</v>
      </c>
      <c r="D91" s="35" t="s">
        <v>65</v>
      </c>
      <c r="E91" s="32" t="s">
        <v>42</v>
      </c>
      <c r="F91" s="45" t="s">
        <v>62</v>
      </c>
      <c r="G91" s="32">
        <v>122</v>
      </c>
      <c r="H91" s="32">
        <v>560</v>
      </c>
      <c r="I91" s="35">
        <f>G91*H91</f>
        <v>68320</v>
      </c>
      <c r="J91" s="37"/>
      <c r="K91" s="32">
        <f t="shared" ref="K91:K96" si="13">IF(G91&gt;=100,I91*25%,IF(G91&gt;=50,I91*15%,IF(G91&gt;=30,I91*5%,IF(G91&gt;=20,I91*0%))))</f>
        <v>17080</v>
      </c>
      <c r="L91" s="32" t="b">
        <f t="shared" ref="L91:L100" si="14">IF(D91="wholesaler",I91*30%,IF(D91="retailer",I91*20%,IF(D91="customer",I91*10%)))</f>
        <v>0</v>
      </c>
    </row>
    <row r="92" spans="2:12" ht="15.6" x14ac:dyDescent="0.3">
      <c r="B92" s="33">
        <v>2</v>
      </c>
      <c r="C92" s="33" t="s">
        <v>63</v>
      </c>
      <c r="D92" s="38" t="s">
        <v>66</v>
      </c>
      <c r="E92" s="33" t="s">
        <v>27</v>
      </c>
      <c r="F92" s="25" t="s">
        <v>43</v>
      </c>
      <c r="G92" s="33">
        <v>122</v>
      </c>
      <c r="H92" s="33">
        <v>300</v>
      </c>
      <c r="I92" s="38">
        <f t="shared" ref="I92:I100" si="15">G92*H92</f>
        <v>36600</v>
      </c>
      <c r="J92" s="37"/>
      <c r="K92" s="33">
        <f t="shared" si="13"/>
        <v>9150</v>
      </c>
      <c r="L92" s="33" t="b">
        <f t="shared" si="14"/>
        <v>0</v>
      </c>
    </row>
    <row r="93" spans="2:12" ht="15.6" x14ac:dyDescent="0.3">
      <c r="B93" s="32">
        <v>3</v>
      </c>
      <c r="C93" s="32" t="s">
        <v>64</v>
      </c>
      <c r="D93" s="35" t="s">
        <v>67</v>
      </c>
      <c r="E93" s="32" t="s">
        <v>28</v>
      </c>
      <c r="F93" s="24" t="s">
        <v>44</v>
      </c>
      <c r="G93" s="32">
        <v>33</v>
      </c>
      <c r="H93" s="32">
        <v>233</v>
      </c>
      <c r="I93" s="35">
        <f t="shared" si="15"/>
        <v>7689</v>
      </c>
      <c r="J93" s="37"/>
      <c r="K93" s="32">
        <f t="shared" si="13"/>
        <v>384.45000000000005</v>
      </c>
      <c r="L93" s="32" t="b">
        <f t="shared" si="14"/>
        <v>0</v>
      </c>
    </row>
    <row r="94" spans="2:12" ht="15.6" x14ac:dyDescent="0.3">
      <c r="B94" s="33">
        <v>4</v>
      </c>
      <c r="C94" s="33" t="s">
        <v>0</v>
      </c>
      <c r="D94" s="38" t="s">
        <v>65</v>
      </c>
      <c r="E94" s="33" t="s">
        <v>29</v>
      </c>
      <c r="F94" s="25" t="s">
        <v>45</v>
      </c>
      <c r="G94" s="33">
        <v>43</v>
      </c>
      <c r="H94" s="33">
        <v>433</v>
      </c>
      <c r="I94" s="38">
        <f t="shared" si="15"/>
        <v>18619</v>
      </c>
      <c r="J94" s="37"/>
      <c r="K94" s="33">
        <f t="shared" si="13"/>
        <v>930.95</v>
      </c>
      <c r="L94" s="33" t="b">
        <f t="shared" si="14"/>
        <v>0</v>
      </c>
    </row>
    <row r="95" spans="2:12" ht="15.6" x14ac:dyDescent="0.3">
      <c r="B95" s="32">
        <v>5</v>
      </c>
      <c r="C95" s="32" t="s">
        <v>9</v>
      </c>
      <c r="D95" s="35" t="s">
        <v>66</v>
      </c>
      <c r="E95" s="32" t="s">
        <v>26</v>
      </c>
      <c r="F95" s="24" t="s">
        <v>46</v>
      </c>
      <c r="G95" s="32">
        <v>87</v>
      </c>
      <c r="H95" s="32">
        <v>544</v>
      </c>
      <c r="I95" s="35">
        <f t="shared" si="15"/>
        <v>47328</v>
      </c>
      <c r="J95" s="37"/>
      <c r="K95" s="32">
        <f t="shared" si="13"/>
        <v>7099.2</v>
      </c>
      <c r="L95" s="32" t="b">
        <f t="shared" si="14"/>
        <v>0</v>
      </c>
    </row>
    <row r="96" spans="2:12" ht="15.6" x14ac:dyDescent="0.3">
      <c r="B96" s="33">
        <v>6</v>
      </c>
      <c r="C96" s="33" t="s">
        <v>2</v>
      </c>
      <c r="D96" s="38" t="s">
        <v>67</v>
      </c>
      <c r="E96" s="33" t="s">
        <v>27</v>
      </c>
      <c r="F96" s="25" t="s">
        <v>47</v>
      </c>
      <c r="G96" s="33">
        <v>9</v>
      </c>
      <c r="H96" s="33">
        <v>543</v>
      </c>
      <c r="I96" s="38">
        <f t="shared" si="15"/>
        <v>4887</v>
      </c>
      <c r="J96" s="37"/>
      <c r="K96" s="33" t="b">
        <f t="shared" si="13"/>
        <v>0</v>
      </c>
      <c r="L96" s="33" t="b">
        <f t="shared" si="14"/>
        <v>0</v>
      </c>
    </row>
    <row r="97" spans="2:13" ht="15.6" x14ac:dyDescent="0.3">
      <c r="B97" s="32">
        <v>7</v>
      </c>
      <c r="C97" s="32" t="s">
        <v>10</v>
      </c>
      <c r="D97" s="35" t="s">
        <v>65</v>
      </c>
      <c r="E97" s="32" t="s">
        <v>28</v>
      </c>
      <c r="F97" s="24" t="s">
        <v>48</v>
      </c>
      <c r="G97" s="32">
        <v>76</v>
      </c>
      <c r="H97" s="32">
        <v>988</v>
      </c>
      <c r="I97" s="35">
        <f t="shared" si="15"/>
        <v>75088</v>
      </c>
      <c r="J97" s="37"/>
      <c r="K97" s="32"/>
      <c r="L97" s="32" t="b">
        <f t="shared" si="14"/>
        <v>0</v>
      </c>
    </row>
    <row r="98" spans="2:13" ht="15.6" x14ac:dyDescent="0.3">
      <c r="B98" s="33">
        <v>8</v>
      </c>
      <c r="C98" s="33" t="s">
        <v>14</v>
      </c>
      <c r="D98" s="38" t="s">
        <v>66</v>
      </c>
      <c r="E98" s="33" t="s">
        <v>29</v>
      </c>
      <c r="F98" s="25" t="s">
        <v>49</v>
      </c>
      <c r="G98" s="33">
        <v>45</v>
      </c>
      <c r="H98" s="33">
        <v>900</v>
      </c>
      <c r="I98" s="38">
        <f t="shared" si="15"/>
        <v>40500</v>
      </c>
      <c r="J98" s="37"/>
      <c r="K98" s="33">
        <f>IF(G98&gt;=100,I98*25%,IF(G98&gt;=50,I98*15%,IF(G98&gt;=30,I98*5%,IF(G98&gt;=20,I98*0%))))</f>
        <v>2025</v>
      </c>
      <c r="L98" s="33" t="b">
        <f t="shared" si="14"/>
        <v>0</v>
      </c>
    </row>
    <row r="99" spans="2:13" ht="15.6" x14ac:dyDescent="0.3">
      <c r="B99" s="32">
        <v>9</v>
      </c>
      <c r="C99" s="32" t="s">
        <v>15</v>
      </c>
      <c r="D99" s="35" t="s">
        <v>67</v>
      </c>
      <c r="E99" s="32" t="s">
        <v>26</v>
      </c>
      <c r="F99" s="24" t="s">
        <v>50</v>
      </c>
      <c r="G99" s="32">
        <v>766</v>
      </c>
      <c r="H99" s="32">
        <v>980</v>
      </c>
      <c r="I99" s="35">
        <f t="shared" si="15"/>
        <v>750680</v>
      </c>
      <c r="J99" s="37"/>
      <c r="K99" s="32">
        <f>IF(G99&gt;=100,I99*25%,IF(G99&gt;=50,I99*15%,IF(G99&gt;=30,I99*5%,IF(G99&gt;=20,I99*0%))))</f>
        <v>187670</v>
      </c>
      <c r="L99" s="32" t="b">
        <f t="shared" si="14"/>
        <v>0</v>
      </c>
    </row>
    <row r="100" spans="2:13" ht="15.6" x14ac:dyDescent="0.3">
      <c r="B100" s="33">
        <v>10</v>
      </c>
      <c r="C100" s="33" t="s">
        <v>16</v>
      </c>
      <c r="D100" s="38" t="s">
        <v>65</v>
      </c>
      <c r="E100" s="33" t="s">
        <v>27</v>
      </c>
      <c r="F100" s="25" t="s">
        <v>51</v>
      </c>
      <c r="G100" s="33">
        <v>76</v>
      </c>
      <c r="H100" s="33">
        <v>800</v>
      </c>
      <c r="I100" s="38">
        <f t="shared" si="15"/>
        <v>60800</v>
      </c>
      <c r="J100" s="37" t="e">
        <f>SUM(Table3[[#This Row],[QTY]:[TOTAL AMOUNT]])</f>
        <v>#VALUE!</v>
      </c>
      <c r="K100" s="33">
        <f>IF(G100&gt;=100,I100*25%,IF(G100&gt;=50,I100*15%,IF(G100&gt;=30,I100*5%,IF(G100&gt;=20,I100*0%))))</f>
        <v>9120</v>
      </c>
      <c r="L100" s="33" t="b">
        <f t="shared" si="14"/>
        <v>0</v>
      </c>
    </row>
    <row r="105" spans="2:13" x14ac:dyDescent="0.3">
      <c r="D105" s="1"/>
    </row>
    <row r="106" spans="2:13" x14ac:dyDescent="0.3">
      <c r="B106">
        <v>1</v>
      </c>
      <c r="C106" t="s">
        <v>57</v>
      </c>
      <c r="D106" s="43" t="s">
        <v>65</v>
      </c>
      <c r="E106" t="s">
        <v>42</v>
      </c>
      <c r="F106" t="s">
        <v>62</v>
      </c>
      <c r="G106">
        <v>122</v>
      </c>
      <c r="H106">
        <v>560</v>
      </c>
      <c r="I106" s="43">
        <f>G106*H106</f>
        <v>68320</v>
      </c>
      <c r="K106">
        <f t="shared" ref="K106:K111" si="16">IF(G106&gt;=100,I106*25%,IF(G106&gt;=50,I106*15%,IF(G106&gt;=30,I106*5%,IF(G106&gt;=20,I106*0%))))</f>
        <v>17080</v>
      </c>
      <c r="L106" t="b">
        <f t="shared" ref="L106:L115" si="17">IF(D106="wholesaler",I106*30%,IF(D106="retailer",I106*20%,IF(D106="customer",I106*10%)))</f>
        <v>0</v>
      </c>
    </row>
    <row r="107" spans="2:13" ht="15.6" x14ac:dyDescent="0.3">
      <c r="B107">
        <v>2</v>
      </c>
      <c r="C107" s="32" t="s">
        <v>63</v>
      </c>
      <c r="D107" s="44" t="s">
        <v>66</v>
      </c>
      <c r="E107" s="35" t="s">
        <v>27</v>
      </c>
      <c r="F107" s="32" t="s">
        <v>43</v>
      </c>
      <c r="G107" s="45">
        <v>122</v>
      </c>
      <c r="H107" s="32">
        <v>300</v>
      </c>
      <c r="I107" s="32">
        <f t="shared" ref="I107:I115" si="18">G107*H107</f>
        <v>36600</v>
      </c>
      <c r="J107" s="35"/>
      <c r="K107" s="37">
        <f t="shared" si="16"/>
        <v>9150</v>
      </c>
      <c r="L107" s="32" t="b">
        <f t="shared" si="17"/>
        <v>0</v>
      </c>
      <c r="M107" s="32"/>
    </row>
    <row r="108" spans="2:13" ht="15.6" x14ac:dyDescent="0.3">
      <c r="B108">
        <v>3</v>
      </c>
      <c r="C108" s="33" t="s">
        <v>64</v>
      </c>
      <c r="D108" s="33" t="s">
        <v>67</v>
      </c>
      <c r="E108" s="50" t="s">
        <v>28</v>
      </c>
      <c r="F108" s="33" t="s">
        <v>44</v>
      </c>
      <c r="G108" s="25">
        <v>33</v>
      </c>
      <c r="H108" s="33">
        <v>233</v>
      </c>
      <c r="I108" s="33">
        <f t="shared" si="18"/>
        <v>7689</v>
      </c>
      <c r="J108" s="38"/>
      <c r="K108" s="37">
        <f t="shared" si="16"/>
        <v>384.45000000000005</v>
      </c>
      <c r="L108" s="33" t="b">
        <f t="shared" si="17"/>
        <v>0</v>
      </c>
      <c r="M108" s="33"/>
    </row>
    <row r="109" spans="2:13" ht="15.6" x14ac:dyDescent="0.3">
      <c r="B109">
        <v>4</v>
      </c>
      <c r="C109" s="32" t="s">
        <v>0</v>
      </c>
      <c r="D109" s="32" t="s">
        <v>65</v>
      </c>
      <c r="E109" s="35" t="s">
        <v>29</v>
      </c>
      <c r="F109" s="32" t="s">
        <v>45</v>
      </c>
      <c r="G109" s="24">
        <v>43</v>
      </c>
      <c r="H109" s="32">
        <v>433</v>
      </c>
      <c r="I109" s="32">
        <f t="shared" si="18"/>
        <v>18619</v>
      </c>
      <c r="J109" s="35"/>
      <c r="K109" s="37">
        <f t="shared" si="16"/>
        <v>930.95</v>
      </c>
      <c r="L109" s="32" t="b">
        <f t="shared" si="17"/>
        <v>0</v>
      </c>
      <c r="M109" s="32"/>
    </row>
    <row r="110" spans="2:13" ht="15.6" x14ac:dyDescent="0.3">
      <c r="B110">
        <v>5</v>
      </c>
      <c r="C110" s="33" t="s">
        <v>9</v>
      </c>
      <c r="D110" s="33" t="s">
        <v>66</v>
      </c>
      <c r="E110" s="38" t="s">
        <v>26</v>
      </c>
      <c r="F110" s="33" t="s">
        <v>46</v>
      </c>
      <c r="G110" s="25">
        <v>87</v>
      </c>
      <c r="H110" s="33">
        <v>544</v>
      </c>
      <c r="I110" s="33">
        <f t="shared" si="18"/>
        <v>47328</v>
      </c>
      <c r="J110" s="38"/>
      <c r="K110" s="37">
        <f t="shared" si="16"/>
        <v>7099.2</v>
      </c>
      <c r="L110" s="33" t="b">
        <f t="shared" si="17"/>
        <v>0</v>
      </c>
      <c r="M110" s="33"/>
    </row>
    <row r="111" spans="2:13" ht="15.6" x14ac:dyDescent="0.3">
      <c r="B111">
        <v>6</v>
      </c>
      <c r="C111" s="32" t="s">
        <v>2</v>
      </c>
      <c r="D111" s="32" t="s">
        <v>67</v>
      </c>
      <c r="E111" s="35" t="s">
        <v>27</v>
      </c>
      <c r="F111" s="32" t="s">
        <v>47</v>
      </c>
      <c r="G111" s="24">
        <v>9</v>
      </c>
      <c r="H111" s="32">
        <v>543</v>
      </c>
      <c r="I111" s="32">
        <f t="shared" si="18"/>
        <v>4887</v>
      </c>
      <c r="J111" s="35"/>
      <c r="K111" s="37" t="b">
        <f t="shared" si="16"/>
        <v>0</v>
      </c>
      <c r="L111" s="32" t="b">
        <f t="shared" si="17"/>
        <v>0</v>
      </c>
      <c r="M111" s="32"/>
    </row>
    <row r="112" spans="2:13" ht="15.6" x14ac:dyDescent="0.3">
      <c r="B112">
        <v>7</v>
      </c>
      <c r="C112" s="33" t="s">
        <v>10</v>
      </c>
      <c r="D112" s="33" t="s">
        <v>65</v>
      </c>
      <c r="E112" s="38" t="s">
        <v>28</v>
      </c>
      <c r="F112" s="33" t="s">
        <v>48</v>
      </c>
      <c r="G112" s="25">
        <v>76</v>
      </c>
      <c r="H112" s="33">
        <v>988</v>
      </c>
      <c r="I112" s="33">
        <f t="shared" si="18"/>
        <v>75088</v>
      </c>
      <c r="J112" s="38"/>
      <c r="K112" s="37"/>
      <c r="L112" s="33" t="b">
        <f t="shared" si="17"/>
        <v>0</v>
      </c>
      <c r="M112" s="33"/>
    </row>
    <row r="113" spans="2:13" ht="15.6" x14ac:dyDescent="0.3">
      <c r="B113">
        <v>8</v>
      </c>
      <c r="C113" s="32" t="s">
        <v>14</v>
      </c>
      <c r="D113" s="32" t="s">
        <v>66</v>
      </c>
      <c r="E113" s="35" t="s">
        <v>29</v>
      </c>
      <c r="F113" s="32" t="s">
        <v>49</v>
      </c>
      <c r="G113" s="24">
        <v>45</v>
      </c>
      <c r="H113" s="32">
        <v>900</v>
      </c>
      <c r="I113" s="32">
        <f t="shared" si="18"/>
        <v>40500</v>
      </c>
      <c r="J113" s="35"/>
      <c r="K113" s="37">
        <f>IF(G113&gt;=100,I113*25%,IF(G113&gt;=50,I113*15%,IF(G113&gt;=30,I113*5%,IF(G113&gt;=20,I113*0%))))</f>
        <v>2025</v>
      </c>
      <c r="L113" s="32" t="b">
        <f t="shared" si="17"/>
        <v>0</v>
      </c>
      <c r="M113" s="32"/>
    </row>
    <row r="114" spans="2:13" ht="15.6" x14ac:dyDescent="0.3">
      <c r="B114">
        <v>9</v>
      </c>
      <c r="C114" s="33" t="s">
        <v>15</v>
      </c>
      <c r="D114" s="33" t="s">
        <v>67</v>
      </c>
      <c r="E114" s="38" t="s">
        <v>26</v>
      </c>
      <c r="F114" s="33" t="s">
        <v>50</v>
      </c>
      <c r="G114" s="25">
        <v>766</v>
      </c>
      <c r="H114" s="33">
        <v>980</v>
      </c>
      <c r="I114" s="33">
        <f t="shared" si="18"/>
        <v>750680</v>
      </c>
      <c r="J114" s="38"/>
      <c r="K114" s="37">
        <f>IF(G114&gt;=100,I114*25%,IF(G114&gt;=50,I114*15%,IF(G114&gt;=30,I114*5%,IF(G114&gt;=20,I114*0%))))</f>
        <v>187670</v>
      </c>
      <c r="L114" s="33" t="b">
        <f t="shared" si="17"/>
        <v>0</v>
      </c>
      <c r="M114" s="33"/>
    </row>
    <row r="115" spans="2:13" ht="15.6" x14ac:dyDescent="0.3">
      <c r="B115">
        <v>10</v>
      </c>
      <c r="C115" s="32" t="s">
        <v>16</v>
      </c>
      <c r="D115" s="32" t="s">
        <v>65</v>
      </c>
      <c r="E115" s="35" t="s">
        <v>27</v>
      </c>
      <c r="F115" s="32" t="s">
        <v>51</v>
      </c>
      <c r="G115" s="24">
        <v>76</v>
      </c>
      <c r="H115" s="32">
        <v>800</v>
      </c>
      <c r="I115" s="32">
        <f t="shared" si="18"/>
        <v>60800</v>
      </c>
      <c r="J115" s="35" t="e">
        <f>SUM(Table3[[#This Row],[QTY]:[TOTAL AMOUNT]])</f>
        <v>#VALUE!</v>
      </c>
      <c r="K115" s="37">
        <f>IF(G115&gt;=100,I115*25%,IF(G115&gt;=50,I115*15%,IF(G115&gt;=30,I115*5%,IF(G115&gt;=20,I115*0%))))</f>
        <v>9120</v>
      </c>
      <c r="L115" s="32" t="b">
        <f t="shared" si="17"/>
        <v>0</v>
      </c>
      <c r="M115" s="32"/>
    </row>
    <row r="116" spans="2:13" ht="15.6" x14ac:dyDescent="0.3">
      <c r="C116" s="33"/>
      <c r="D116" s="33"/>
      <c r="E116" s="38"/>
      <c r="F116" s="33"/>
      <c r="G116" s="25"/>
      <c r="H116" s="33"/>
      <c r="I116" s="33"/>
      <c r="J116" s="38"/>
      <c r="K116" s="37"/>
      <c r="L116" s="33"/>
      <c r="M116" s="33"/>
    </row>
  </sheetData>
  <sheetProtection selectLockedCells="1" selectUnlockedCells="1"/>
  <phoneticPr fontId="8" type="noConversion"/>
  <conditionalFormatting sqref="M5">
    <cfRule type="dataBar" priority="3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{390B85C8-FD12-4365-9D71-A51129E6000C}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{F3C06210-6284-41A3-8018-8E0B100213BE}</x14:id>
        </ext>
      </extLst>
    </cfRule>
  </conditionalFormatting>
  <pageMargins left="0.7" right="0.7" top="0.75" bottom="0.75" header="0.3" footer="0.3"/>
  <pageSetup orientation="portrait" r:id="rId1"/>
  <legacy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0B85C8-FD12-4365-9D71-A51129E600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C06210-6284-41A3-8018-8E0B10021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5664-FCC1-4CE3-9D6E-CC16D42CF88B}">
  <dimension ref="A1:N26"/>
  <sheetViews>
    <sheetView workbookViewId="0">
      <selection activeCell="B3" sqref="B3"/>
    </sheetView>
  </sheetViews>
  <sheetFormatPr defaultRowHeight="14.4" x14ac:dyDescent="0.3"/>
  <cols>
    <col min="3" max="3" width="11.21875" bestFit="1" customWidth="1"/>
    <col min="5" max="5" width="29.21875" bestFit="1" customWidth="1"/>
    <col min="6" max="6" width="10" bestFit="1" customWidth="1"/>
    <col min="7" max="7" width="11.21875" bestFit="1" customWidth="1"/>
    <col min="8" max="8" width="13.88671875" bestFit="1" customWidth="1"/>
    <col min="9" max="9" width="29.21875" bestFit="1" customWidth="1"/>
    <col min="11" max="11" width="44.88671875" customWidth="1"/>
  </cols>
  <sheetData>
    <row r="1" spans="1:14" ht="15.6" x14ac:dyDescent="0.3">
      <c r="A1" s="32">
        <v>1</v>
      </c>
      <c r="B1" s="44" t="s">
        <v>57</v>
      </c>
      <c r="C1" s="35" t="s">
        <v>65</v>
      </c>
      <c r="D1" s="32" t="s">
        <v>42</v>
      </c>
      <c r="E1" s="45" t="s">
        <v>62</v>
      </c>
      <c r="F1" s="32">
        <v>122</v>
      </c>
      <c r="G1" s="32">
        <v>560</v>
      </c>
      <c r="H1" s="35">
        <f>F1*G1</f>
        <v>68320</v>
      </c>
      <c r="I1" s="37"/>
      <c r="J1" s="32">
        <f t="shared" ref="J1:J6" si="0">IF(F1&gt;=100,H1*25%,IF(F1&gt;=50,H1*15%,IF(F1&gt;=30,H1*5%,IF(F1&gt;=20,H1*0%))))</f>
        <v>17080</v>
      </c>
      <c r="K1" s="32" t="b">
        <f t="shared" ref="K1:K10" si="1">IF(C1="wholesaler",H1*30%,IF(C1="retailer",H1*20%,IF(C1="customer",H1*10%)))</f>
        <v>0</v>
      </c>
    </row>
    <row r="2" spans="1:14" ht="15.6" x14ac:dyDescent="0.3">
      <c r="A2" s="33">
        <v>2</v>
      </c>
      <c r="B2" s="33" t="s">
        <v>63</v>
      </c>
      <c r="C2" s="38" t="s">
        <v>66</v>
      </c>
      <c r="D2" s="33" t="s">
        <v>27</v>
      </c>
      <c r="E2" s="25" t="s">
        <v>43</v>
      </c>
      <c r="F2" s="33">
        <v>122</v>
      </c>
      <c r="G2" s="33">
        <v>300</v>
      </c>
      <c r="H2" s="38">
        <f t="shared" ref="H2:H10" si="2">F2*G2</f>
        <v>36600</v>
      </c>
      <c r="I2" s="37"/>
      <c r="J2" s="33">
        <f t="shared" si="0"/>
        <v>9150</v>
      </c>
      <c r="K2" s="33" t="b">
        <f t="shared" si="1"/>
        <v>0</v>
      </c>
    </row>
    <row r="3" spans="1:14" ht="15.6" x14ac:dyDescent="0.3">
      <c r="A3" s="32">
        <v>3</v>
      </c>
      <c r="B3" s="51" t="s">
        <v>64</v>
      </c>
      <c r="C3" s="35" t="s">
        <v>67</v>
      </c>
      <c r="D3" s="32" t="s">
        <v>28</v>
      </c>
      <c r="E3" s="24" t="s">
        <v>44</v>
      </c>
      <c r="F3" s="32">
        <v>33</v>
      </c>
      <c r="G3" s="32">
        <v>233</v>
      </c>
      <c r="H3" s="35">
        <f t="shared" si="2"/>
        <v>7689</v>
      </c>
      <c r="I3" s="37"/>
      <c r="J3" s="32">
        <f t="shared" si="0"/>
        <v>384.45000000000005</v>
      </c>
      <c r="K3" s="32" t="b">
        <f t="shared" si="1"/>
        <v>0</v>
      </c>
    </row>
    <row r="4" spans="1:14" ht="15.6" x14ac:dyDescent="0.3">
      <c r="A4" s="33">
        <v>4</v>
      </c>
      <c r="B4" s="33" t="s">
        <v>0</v>
      </c>
      <c r="C4" s="38" t="s">
        <v>65</v>
      </c>
      <c r="D4" s="33" t="s">
        <v>29</v>
      </c>
      <c r="E4" s="25" t="s">
        <v>45</v>
      </c>
      <c r="F4" s="33">
        <v>43</v>
      </c>
      <c r="G4" s="33">
        <v>433</v>
      </c>
      <c r="H4" s="38">
        <f t="shared" si="2"/>
        <v>18619</v>
      </c>
      <c r="I4" s="37"/>
      <c r="J4" s="33">
        <f t="shared" si="0"/>
        <v>930.95</v>
      </c>
      <c r="K4" s="33" t="b">
        <f t="shared" si="1"/>
        <v>0</v>
      </c>
    </row>
    <row r="5" spans="1:14" ht="15.6" x14ac:dyDescent="0.3">
      <c r="A5" s="32">
        <v>5</v>
      </c>
      <c r="B5" s="32" t="s">
        <v>9</v>
      </c>
      <c r="C5" s="35" t="s">
        <v>66</v>
      </c>
      <c r="D5" s="32" t="s">
        <v>26</v>
      </c>
      <c r="E5" s="24" t="s">
        <v>46</v>
      </c>
      <c r="F5" s="32">
        <v>87</v>
      </c>
      <c r="G5" s="32">
        <v>544</v>
      </c>
      <c r="H5" s="35">
        <f t="shared" si="2"/>
        <v>47328</v>
      </c>
      <c r="I5" s="37"/>
      <c r="J5" s="32">
        <f t="shared" si="0"/>
        <v>7099.2</v>
      </c>
      <c r="K5" s="32" t="b">
        <f t="shared" si="1"/>
        <v>0</v>
      </c>
    </row>
    <row r="6" spans="1:14" ht="15.6" x14ac:dyDescent="0.3">
      <c r="A6" s="33">
        <v>6</v>
      </c>
      <c r="B6" s="33" t="s">
        <v>2</v>
      </c>
      <c r="C6" s="38" t="s">
        <v>67</v>
      </c>
      <c r="D6" s="33" t="s">
        <v>27</v>
      </c>
      <c r="E6" s="25" t="s">
        <v>47</v>
      </c>
      <c r="F6" s="33">
        <v>9</v>
      </c>
      <c r="G6" s="33">
        <v>543</v>
      </c>
      <c r="H6" s="38">
        <v>5565</v>
      </c>
      <c r="I6" s="37"/>
      <c r="J6" s="33" t="b">
        <f t="shared" si="0"/>
        <v>0</v>
      </c>
      <c r="K6" s="33" t="b">
        <f t="shared" si="1"/>
        <v>0</v>
      </c>
    </row>
    <row r="7" spans="1:14" ht="15.6" x14ac:dyDescent="0.3">
      <c r="A7" s="32">
        <v>7</v>
      </c>
      <c r="B7" s="32" t="s">
        <v>10</v>
      </c>
      <c r="C7" s="35" t="s">
        <v>65</v>
      </c>
      <c r="D7" s="32" t="s">
        <v>28</v>
      </c>
      <c r="E7" s="24" t="s">
        <v>48</v>
      </c>
      <c r="F7" s="32">
        <v>76</v>
      </c>
      <c r="G7" s="32">
        <v>988</v>
      </c>
      <c r="H7" s="35">
        <f t="shared" si="2"/>
        <v>75088</v>
      </c>
      <c r="I7" s="37"/>
      <c r="J7" s="32"/>
      <c r="K7" s="32" t="b">
        <f t="shared" si="1"/>
        <v>0</v>
      </c>
    </row>
    <row r="8" spans="1:14" ht="15.6" x14ac:dyDescent="0.3">
      <c r="A8" s="33">
        <v>8</v>
      </c>
      <c r="B8" s="33" t="s">
        <v>14</v>
      </c>
      <c r="C8" s="38" t="s">
        <v>66</v>
      </c>
      <c r="D8" s="33" t="s">
        <v>29</v>
      </c>
      <c r="E8" s="25" t="s">
        <v>49</v>
      </c>
      <c r="F8" s="33">
        <v>45</v>
      </c>
      <c r="G8" s="33">
        <v>900</v>
      </c>
      <c r="H8" s="38">
        <f t="shared" si="2"/>
        <v>40500</v>
      </c>
      <c r="I8" s="37"/>
      <c r="J8" s="33">
        <f>IF(F8&gt;=100,H8*25%,IF(F8&gt;=50,H8*15%,IF(F8&gt;=30,H8*5%,IF(F8&gt;=20,H8*0%))))</f>
        <v>2025</v>
      </c>
      <c r="K8" s="33" t="b">
        <f t="shared" si="1"/>
        <v>0</v>
      </c>
    </row>
    <row r="9" spans="1:14" ht="15.6" x14ac:dyDescent="0.3">
      <c r="A9" s="32">
        <v>9</v>
      </c>
      <c r="B9" s="32" t="s">
        <v>15</v>
      </c>
      <c r="C9" s="35" t="s">
        <v>67</v>
      </c>
      <c r="D9" s="32" t="s">
        <v>26</v>
      </c>
      <c r="E9" s="24" t="s">
        <v>50</v>
      </c>
      <c r="F9" s="32">
        <v>766</v>
      </c>
      <c r="G9" s="32">
        <v>980</v>
      </c>
      <c r="H9" s="35">
        <v>54</v>
      </c>
      <c r="I9" s="37"/>
      <c r="J9" s="32">
        <f>IF(F9&gt;=100,H9*25%,IF(F9&gt;=50,H9*15%,IF(F9&gt;=30,H9*5%,IF(F9&gt;=20,H9*0%))))</f>
        <v>13.5</v>
      </c>
      <c r="K9" s="32" t="b">
        <f t="shared" si="1"/>
        <v>0</v>
      </c>
    </row>
    <row r="10" spans="1:14" ht="15.6" x14ac:dyDescent="0.3">
      <c r="A10" s="33">
        <v>10</v>
      </c>
      <c r="B10" s="33" t="s">
        <v>16</v>
      </c>
      <c r="C10" s="38" t="s">
        <v>65</v>
      </c>
      <c r="D10" s="33" t="s">
        <v>27</v>
      </c>
      <c r="E10" s="25" t="s">
        <v>51</v>
      </c>
      <c r="F10" s="33">
        <v>76</v>
      </c>
      <c r="G10" s="33">
        <v>800</v>
      </c>
      <c r="H10" s="38">
        <f t="shared" si="2"/>
        <v>60800</v>
      </c>
      <c r="I10" s="37">
        <f>SUM(Table3[[#This Row],[QTY]:[TOTAL AMOUNT]])</f>
        <v>752426</v>
      </c>
      <c r="J10" s="33">
        <f>IF(F10&gt;=100,H10*25%,IF(F10&gt;=50,H10*15%,IF(F10&gt;=30,H10*5%,IF(F10&gt;=20,H10*0%))))</f>
        <v>9120</v>
      </c>
      <c r="K10" s="33" t="b">
        <f t="shared" si="1"/>
        <v>0</v>
      </c>
    </row>
    <row r="11" spans="1:14" x14ac:dyDescent="0.3">
      <c r="H11" s="43">
        <f>SUM(H3:H10)</f>
        <v>255643</v>
      </c>
      <c r="N11">
        <v>5000</v>
      </c>
    </row>
    <row r="14" spans="1:14" x14ac:dyDescent="0.3">
      <c r="K14">
        <v>2</v>
      </c>
      <c r="L14" t="s">
        <v>74</v>
      </c>
    </row>
    <row r="17" spans="5:13" ht="15.6" x14ac:dyDescent="0.3">
      <c r="E17" s="32">
        <v>1</v>
      </c>
      <c r="F17" s="44" t="s">
        <v>57</v>
      </c>
      <c r="G17" s="35" t="s">
        <v>65</v>
      </c>
      <c r="H17" s="32" t="s">
        <v>42</v>
      </c>
      <c r="I17" s="45" t="s">
        <v>62</v>
      </c>
      <c r="J17" s="32">
        <v>122</v>
      </c>
      <c r="K17">
        <v>5560</v>
      </c>
      <c r="L17" s="35">
        <f>J17*K17</f>
        <v>678320</v>
      </c>
      <c r="M17" s="37"/>
    </row>
    <row r="18" spans="5:13" ht="15.6" x14ac:dyDescent="0.3">
      <c r="E18" s="33">
        <v>2</v>
      </c>
      <c r="F18" s="33" t="s">
        <v>63</v>
      </c>
      <c r="G18" s="38" t="s">
        <v>66</v>
      </c>
      <c r="H18" s="33" t="s">
        <v>27</v>
      </c>
      <c r="I18" s="25" t="s">
        <v>43</v>
      </c>
      <c r="J18" s="33">
        <v>122</v>
      </c>
      <c r="K18">
        <v>5300</v>
      </c>
      <c r="L18" s="38">
        <f t="shared" ref="L18:L26" si="3">J18*K18</f>
        <v>646600</v>
      </c>
      <c r="M18" s="37"/>
    </row>
    <row r="19" spans="5:13" ht="15.6" x14ac:dyDescent="0.3">
      <c r="E19" s="32">
        <v>3</v>
      </c>
      <c r="F19" s="32" t="s">
        <v>64</v>
      </c>
      <c r="G19" s="35" t="s">
        <v>67</v>
      </c>
      <c r="H19" s="32" t="s">
        <v>28</v>
      </c>
      <c r="I19" s="24" t="s">
        <v>44</v>
      </c>
      <c r="J19" s="32">
        <v>33</v>
      </c>
      <c r="K19">
        <v>5233</v>
      </c>
      <c r="L19" s="35">
        <f t="shared" si="3"/>
        <v>172689</v>
      </c>
      <c r="M19" s="37"/>
    </row>
    <row r="20" spans="5:13" ht="15.6" x14ac:dyDescent="0.3">
      <c r="E20" s="33">
        <v>4</v>
      </c>
      <c r="F20" s="33" t="s">
        <v>0</v>
      </c>
      <c r="G20" s="38" t="s">
        <v>65</v>
      </c>
      <c r="H20" s="33" t="s">
        <v>29</v>
      </c>
      <c r="I20" s="25" t="s">
        <v>45</v>
      </c>
      <c r="J20" s="33">
        <v>43</v>
      </c>
      <c r="K20">
        <v>5433</v>
      </c>
      <c r="L20" s="38">
        <f t="shared" si="3"/>
        <v>233619</v>
      </c>
      <c r="M20" s="37"/>
    </row>
    <row r="21" spans="5:13" ht="15.6" x14ac:dyDescent="0.3">
      <c r="E21" s="32">
        <v>5</v>
      </c>
      <c r="F21" s="32" t="s">
        <v>9</v>
      </c>
      <c r="G21" s="35" t="s">
        <v>66</v>
      </c>
      <c r="H21" s="32" t="s">
        <v>26</v>
      </c>
      <c r="I21" s="24" t="s">
        <v>46</v>
      </c>
      <c r="J21" s="32">
        <v>87</v>
      </c>
      <c r="K21">
        <v>5544</v>
      </c>
      <c r="L21" s="35">
        <f t="shared" si="3"/>
        <v>482328</v>
      </c>
      <c r="M21" s="37"/>
    </row>
    <row r="22" spans="5:13" ht="15.6" x14ac:dyDescent="0.3">
      <c r="E22" s="33">
        <v>6</v>
      </c>
      <c r="F22" s="33" t="s">
        <v>2</v>
      </c>
      <c r="G22" s="38" t="s">
        <v>67</v>
      </c>
      <c r="H22" s="33" t="s">
        <v>27</v>
      </c>
      <c r="I22" s="25" t="s">
        <v>47</v>
      </c>
      <c r="J22" s="33">
        <v>9</v>
      </c>
      <c r="K22">
        <v>5543</v>
      </c>
      <c r="L22" s="38">
        <f t="shared" si="3"/>
        <v>49887</v>
      </c>
      <c r="M22" s="37"/>
    </row>
    <row r="23" spans="5:13" ht="15.6" x14ac:dyDescent="0.3">
      <c r="E23" s="32">
        <v>7</v>
      </c>
      <c r="F23" s="32" t="s">
        <v>10</v>
      </c>
      <c r="G23" s="35" t="s">
        <v>65</v>
      </c>
      <c r="H23" s="32" t="s">
        <v>28</v>
      </c>
      <c r="I23" s="24" t="s">
        <v>48</v>
      </c>
      <c r="J23" s="32">
        <v>76</v>
      </c>
      <c r="K23">
        <v>5988</v>
      </c>
      <c r="L23" s="35">
        <f t="shared" si="3"/>
        <v>455088</v>
      </c>
      <c r="M23" s="37"/>
    </row>
    <row r="24" spans="5:13" ht="15.6" x14ac:dyDescent="0.3">
      <c r="E24" s="33">
        <v>8</v>
      </c>
      <c r="F24" s="33" t="s">
        <v>14</v>
      </c>
      <c r="G24" s="38" t="s">
        <v>66</v>
      </c>
      <c r="H24" s="33" t="s">
        <v>29</v>
      </c>
      <c r="I24" s="25" t="s">
        <v>49</v>
      </c>
      <c r="J24" s="33">
        <v>45</v>
      </c>
      <c r="K24">
        <v>5900</v>
      </c>
      <c r="L24" s="38">
        <f t="shared" si="3"/>
        <v>265500</v>
      </c>
      <c r="M24" s="37"/>
    </row>
    <row r="25" spans="5:13" ht="15.6" x14ac:dyDescent="0.3">
      <c r="E25" s="32">
        <v>9</v>
      </c>
      <c r="F25" s="32" t="s">
        <v>15</v>
      </c>
      <c r="G25" s="35" t="s">
        <v>67</v>
      </c>
      <c r="H25" s="32" t="s">
        <v>26</v>
      </c>
      <c r="I25" s="24" t="s">
        <v>50</v>
      </c>
      <c r="J25" s="32">
        <v>766</v>
      </c>
      <c r="K25">
        <v>5980</v>
      </c>
      <c r="L25" s="35">
        <f t="shared" si="3"/>
        <v>4580680</v>
      </c>
      <c r="M25" s="37"/>
    </row>
    <row r="26" spans="5:13" ht="15.6" x14ac:dyDescent="0.3">
      <c r="E26" s="33">
        <v>10</v>
      </c>
      <c r="F26" s="33" t="s">
        <v>16</v>
      </c>
      <c r="G26" s="38" t="s">
        <v>65</v>
      </c>
      <c r="H26" s="33" t="s">
        <v>27</v>
      </c>
      <c r="I26" s="25" t="s">
        <v>51</v>
      </c>
      <c r="J26" s="33">
        <v>76</v>
      </c>
      <c r="K26">
        <v>5800</v>
      </c>
      <c r="L26" s="38">
        <f t="shared" si="3"/>
        <v>440800</v>
      </c>
      <c r="M26" s="37" t="e">
        <f>SUM(Table3[[#This Row],[QTY]:[TOTAL AMOUNT]])</f>
        <v>#VALUE!</v>
      </c>
    </row>
  </sheetData>
  <conditionalFormatting sqref="D1:D10">
    <cfRule type="iconSet" priority="1">
      <iconSet>
        <cfvo type="percent" val="0"/>
        <cfvo type="percent" val="33"/>
        <cfvo type="percent" val="67"/>
      </iconSet>
    </cfRule>
  </conditionalFormatting>
  <conditionalFormatting sqref="F1:F1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{7EA1E52B-242C-4B8F-A5AB-F4D58E036D01}</x14:id>
        </ext>
      </extLst>
    </cfRule>
  </conditionalFormatting>
  <conditionalFormatting sqref="G1:G11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J17:J2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{AFDDAC54-322F-4687-84E9-54050471E90F}</x14:id>
        </ext>
      </extLst>
    </cfRule>
  </conditionalFormatting>
  <hyperlinks>
    <hyperlink ref="B3" location="sheet4!A1" display="AMIT," xr:uid="{2B1E2D47-C605-4EC1-A109-C73BEAC35FAD}"/>
  </hyperlink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A1E52B-242C-4B8F-A5AB-F4D58E036D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F1:F10</xm:sqref>
        </x14:conditionalFormatting>
        <x14:conditionalFormatting xmlns:xm="http://schemas.microsoft.com/office/excel/2006/main">
          <x14:cfRule type="dataBar" id="{AFDDAC54-322F-4687-84E9-54050471E9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J17:J26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9282-283D-4F56-A203-02B3ADEC6A17}">
  <dimension ref="A1"/>
  <sheetViews>
    <sheetView showGridLines="0" topLeftCell="A8" workbookViewId="0"/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BD0A0-171E-4B2B-8A20-5DAF20000E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sheet4</vt:lpstr>
      <vt:lpstr>Sheet6</vt:lpstr>
      <vt:lpstr>Sheet1</vt:lpstr>
      <vt:lpstr>Sheet5</vt:lpstr>
      <vt:lpstr>Sheet2</vt:lpstr>
      <vt:lpstr>Sheet3</vt:lpstr>
      <vt:lpstr>Sheet7</vt:lpstr>
      <vt:lpstr>Sheet8</vt:lpstr>
      <vt:lpstr>Sheet9</vt:lpstr>
      <vt:lpstr>Sheet5!Print_Area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verma</dc:creator>
  <cp:lastModifiedBy>anoop verma</cp:lastModifiedBy>
  <cp:lastPrinted>2026-06-12T07:13:00Z</cp:lastPrinted>
  <dcterms:created xsi:type="dcterms:W3CDTF">2026-04-29T13:56:04Z</dcterms:created>
  <dcterms:modified xsi:type="dcterms:W3CDTF">2026-06-12T16:41:24Z</dcterms:modified>
</cp:coreProperties>
</file>