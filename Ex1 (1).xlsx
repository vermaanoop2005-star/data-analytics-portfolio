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199AEA83-0E12-49D7-9939-1DDFC7BC59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L19" i="1"/>
  <c r="L18" i="1"/>
  <c r="L17" i="1"/>
  <c r="K14" i="1"/>
  <c r="K13" i="1"/>
  <c r="K10" i="1"/>
  <c r="L24" i="1"/>
  <c r="L25" i="1"/>
  <c r="L26" i="1"/>
  <c r="L27" i="1"/>
  <c r="L23" i="1"/>
  <c r="N5" i="1"/>
  <c r="N6" i="1"/>
  <c r="N7" i="1"/>
  <c r="N4" i="1"/>
  <c r="M5" i="1"/>
  <c r="M6" i="1"/>
  <c r="M4" i="1"/>
  <c r="L5" i="1"/>
  <c r="L6" i="1"/>
  <c r="L7" i="1"/>
  <c r="L4" i="1"/>
</calcChain>
</file>

<file path=xl/sharedStrings.xml><?xml version="1.0" encoding="utf-8"?>
<sst xmlns="http://schemas.openxmlformats.org/spreadsheetml/2006/main" count="145" uniqueCount="74">
  <si>
    <t>Emp_ID</t>
  </si>
  <si>
    <t>Name</t>
  </si>
  <si>
    <t>Joining_Date</t>
  </si>
  <si>
    <t>Salary</t>
  </si>
  <si>
    <t>Exp</t>
  </si>
  <si>
    <t>Dept</t>
  </si>
  <si>
    <t>City</t>
  </si>
  <si>
    <t>Profile</t>
  </si>
  <si>
    <t>E3245</t>
  </si>
  <si>
    <t>Shreya Agarwal</t>
  </si>
  <si>
    <t>IT</t>
  </si>
  <si>
    <t>Delhi</t>
  </si>
  <si>
    <t>SDE</t>
  </si>
  <si>
    <t>Q1) Find Name, Salary, City of emplyees using Vlookup</t>
  </si>
  <si>
    <t>Q6) Find Count of Emp who joinied in the year 2022</t>
  </si>
  <si>
    <t>E3257</t>
  </si>
  <si>
    <t>Arjun Singh</t>
  </si>
  <si>
    <t>Sales</t>
  </si>
  <si>
    <t>Pune</t>
  </si>
  <si>
    <t>Sales Manager</t>
  </si>
  <si>
    <t>E3226</t>
  </si>
  <si>
    <t>Vipul Gupta</t>
  </si>
  <si>
    <t>E3267</t>
  </si>
  <si>
    <t>E3265</t>
  </si>
  <si>
    <t>Kushagra</t>
  </si>
  <si>
    <t>Noida</t>
  </si>
  <si>
    <t>Manager</t>
  </si>
  <si>
    <t>E3280</t>
  </si>
  <si>
    <t>E3286</t>
  </si>
  <si>
    <t>Naman Shukla</t>
  </si>
  <si>
    <t>Finance</t>
  </si>
  <si>
    <t>Consultant</t>
  </si>
  <si>
    <t>E3274</t>
  </si>
  <si>
    <t>Q7) For the given names , fetch the Emp_ID, Salary, City and Profile. Solve using Index-Match</t>
  </si>
  <si>
    <t>E3218</t>
  </si>
  <si>
    <t>Vrinda Dubey</t>
  </si>
  <si>
    <t>Sales Operator</t>
  </si>
  <si>
    <t>E3248</t>
  </si>
  <si>
    <t>E3214</t>
  </si>
  <si>
    <t>Shubham Sharma</t>
  </si>
  <si>
    <t>Admin</t>
  </si>
  <si>
    <t>IT Admin</t>
  </si>
  <si>
    <t>Kartik</t>
  </si>
  <si>
    <t>Team Lead</t>
  </si>
  <si>
    <t>Q2) Find Count of Cousultants earning over 40000</t>
  </si>
  <si>
    <t>Arpita Gupta</t>
  </si>
  <si>
    <t>E3261</t>
  </si>
  <si>
    <t>Ishank Sinha</t>
  </si>
  <si>
    <t>Mumbai</t>
  </si>
  <si>
    <t>Harshit Arora</t>
  </si>
  <si>
    <t>Ritwik Trivedi</t>
  </si>
  <si>
    <t>Kolkata</t>
  </si>
  <si>
    <t>E3209</t>
  </si>
  <si>
    <t>Ankit Paliwal</t>
  </si>
  <si>
    <t>HR</t>
  </si>
  <si>
    <t>Talent Recruiter</t>
  </si>
  <si>
    <t>E3251</t>
  </si>
  <si>
    <t>Q8) For the given Emp_ID, fetch the following. Solve using Xlookup</t>
  </si>
  <si>
    <t>Dhruvesh Singh</t>
  </si>
  <si>
    <t>E3278</t>
  </si>
  <si>
    <t>Ujjwal Pandey</t>
  </si>
  <si>
    <t>Q4) Count of Emp in Sales, IT and Finance</t>
  </si>
  <si>
    <t>E3295</t>
  </si>
  <si>
    <t>Count(using Vlookup)</t>
  </si>
  <si>
    <t>Count(using Xlookup)</t>
  </si>
  <si>
    <t>Rohit Bhatia</t>
  </si>
  <si>
    <t>E3289</t>
  </si>
  <si>
    <t>Vibhu Sharma</t>
  </si>
  <si>
    <t>E3287</t>
  </si>
  <si>
    <t>E3203</t>
  </si>
  <si>
    <t>Ishank Arora</t>
  </si>
  <si>
    <t>Q5) Find Dept wise Avg Salary</t>
  </si>
  <si>
    <t>Avg_Salary</t>
  </si>
  <si>
    <t>Q3) Find Avg Salary of Emp having Experience over 3  AND 4yrs and City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</si>
</sst>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"/>
    <numFmt numFmtId="165" formatCode="dd\-mm\-yyyy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rgb="FFB4C6E7"/>
        <bgColor rgb="FFB4C6E7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/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9"/>
  <sheetViews>
    <sheetView tabSelected="1" workbookViewId="0">
      <selection activeCell="M19" sqref="M19"/>
    </sheetView>
  </sheetViews>
  <sheetFormatPr defaultColWidth="12.6640625" defaultRowHeight="15.75" customHeight="1" x14ac:dyDescent="0.25"/>
  <sheetData>
    <row r="1" spans="1:2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3">
      <c r="A2" s="2" t="s">
        <v>8</v>
      </c>
      <c r="B2" s="2" t="s">
        <v>9</v>
      </c>
      <c r="C2" s="3">
        <v>44483</v>
      </c>
      <c r="D2" s="4">
        <v>78000</v>
      </c>
      <c r="E2" s="4">
        <v>4</v>
      </c>
      <c r="F2" s="2" t="s">
        <v>10</v>
      </c>
      <c r="G2" s="2" t="s">
        <v>11</v>
      </c>
      <c r="H2" s="2" t="s">
        <v>12</v>
      </c>
      <c r="J2" s="2"/>
      <c r="K2" s="10" t="s">
        <v>13</v>
      </c>
      <c r="L2" s="9"/>
      <c r="M2" s="9"/>
      <c r="N2" s="9"/>
      <c r="O2" s="9"/>
      <c r="P2" s="2"/>
      <c r="Q2" s="2"/>
      <c r="R2" s="2"/>
      <c r="S2" s="11" t="s">
        <v>14</v>
      </c>
      <c r="T2" s="9"/>
      <c r="U2" s="9"/>
      <c r="V2" s="9"/>
      <c r="W2" s="9"/>
      <c r="X2" s="2"/>
      <c r="Y2" s="2"/>
      <c r="Z2" s="2"/>
      <c r="AA2" s="2"/>
      <c r="AB2" s="2"/>
      <c r="AC2" s="2"/>
    </row>
    <row r="3" spans="1:29" ht="15.75" customHeight="1" x14ac:dyDescent="0.3">
      <c r="A3" s="2" t="s">
        <v>15</v>
      </c>
      <c r="B3" s="2" t="s">
        <v>16</v>
      </c>
      <c r="C3" s="5">
        <v>44708</v>
      </c>
      <c r="D3" s="4">
        <v>54000</v>
      </c>
      <c r="E3" s="4">
        <v>3</v>
      </c>
      <c r="F3" s="2" t="s">
        <v>17</v>
      </c>
      <c r="G3" s="2" t="s">
        <v>18</v>
      </c>
      <c r="H3" s="2" t="s">
        <v>19</v>
      </c>
      <c r="J3" s="2"/>
      <c r="K3" s="6" t="s">
        <v>0</v>
      </c>
      <c r="L3" s="7" t="s">
        <v>1</v>
      </c>
      <c r="M3" s="7" t="s">
        <v>3</v>
      </c>
      <c r="N3" s="7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3">
      <c r="A4" s="2" t="s">
        <v>20</v>
      </c>
      <c r="B4" s="2" t="s">
        <v>21</v>
      </c>
      <c r="C4" s="3">
        <v>44854</v>
      </c>
      <c r="D4" s="4">
        <v>62000</v>
      </c>
      <c r="E4" s="4">
        <v>4.5</v>
      </c>
      <c r="F4" s="2" t="s">
        <v>10</v>
      </c>
      <c r="G4" s="2" t="s">
        <v>11</v>
      </c>
      <c r="H4" s="2" t="s">
        <v>12</v>
      </c>
      <c r="J4" s="2"/>
      <c r="K4" s="2" t="s">
        <v>22</v>
      </c>
      <c r="L4" s="2" t="str">
        <f>VLOOKUP(K4,A:H,2,TRUE)</f>
        <v>Arpita Gupta</v>
      </c>
      <c r="M4" s="2">
        <f>VLOOKUP(K4,A:H,3,0)</f>
        <v>44215</v>
      </c>
      <c r="N4" s="2" t="str">
        <f>VLOOKUP(K4,A:H,7,0)</f>
        <v>Delhi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75" customHeight="1" x14ac:dyDescent="0.3">
      <c r="A5" s="2" t="s">
        <v>23</v>
      </c>
      <c r="B5" s="2" t="s">
        <v>24</v>
      </c>
      <c r="C5" s="3">
        <v>43814</v>
      </c>
      <c r="D5" s="4">
        <v>124000</v>
      </c>
      <c r="E5" s="4">
        <v>7</v>
      </c>
      <c r="F5" s="2" t="s">
        <v>10</v>
      </c>
      <c r="G5" s="2" t="s">
        <v>25</v>
      </c>
      <c r="H5" s="2" t="s">
        <v>26</v>
      </c>
      <c r="J5" s="2"/>
      <c r="K5" s="2" t="s">
        <v>27</v>
      </c>
      <c r="L5" s="2" t="str">
        <f>VLOOKUP(K5,A:H,2,TRUE)</f>
        <v>Dhruvesh Singh</v>
      </c>
      <c r="M5" s="2">
        <f>VLOOKUP(K5,A:H,3,0)</f>
        <v>44860</v>
      </c>
      <c r="N5" s="2" t="str">
        <f>VLOOKUP(K5,A:H,7,0)</f>
        <v>Noida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 x14ac:dyDescent="0.3">
      <c r="A6" s="2" t="s">
        <v>28</v>
      </c>
      <c r="B6" s="2" t="s">
        <v>29</v>
      </c>
      <c r="C6" s="5">
        <v>44763</v>
      </c>
      <c r="D6" s="4">
        <v>67000</v>
      </c>
      <c r="E6" s="4">
        <v>3.5</v>
      </c>
      <c r="F6" s="2" t="s">
        <v>30</v>
      </c>
      <c r="G6" s="2" t="s">
        <v>18</v>
      </c>
      <c r="H6" s="2" t="s">
        <v>31</v>
      </c>
      <c r="J6" s="2"/>
      <c r="K6" s="2" t="s">
        <v>32</v>
      </c>
      <c r="L6" s="2" t="str">
        <f>VLOOKUP(K6,A:H,2,TRUE)</f>
        <v>Arpita Gupta</v>
      </c>
      <c r="M6" s="2">
        <f>VLOOKUP(K6,A:H,3,0)</f>
        <v>45154</v>
      </c>
      <c r="N6" s="2" t="str">
        <f>VLOOKUP(K6,A:H,7,0)</f>
        <v>Kolkata</v>
      </c>
      <c r="O6" s="2"/>
      <c r="P6" s="2"/>
      <c r="Q6" s="2"/>
      <c r="R6" s="2"/>
      <c r="S6" s="12" t="s">
        <v>33</v>
      </c>
      <c r="T6" s="9"/>
      <c r="U6" s="9"/>
      <c r="V6" s="9"/>
      <c r="W6" s="9"/>
      <c r="X6" s="9"/>
      <c r="Y6" s="9"/>
      <c r="Z6" s="9"/>
      <c r="AA6" s="9"/>
      <c r="AB6" s="2"/>
      <c r="AC6" s="2"/>
    </row>
    <row r="7" spans="1:29" ht="15.75" customHeight="1" x14ac:dyDescent="0.3">
      <c r="A7" s="2" t="s">
        <v>34</v>
      </c>
      <c r="B7" s="2" t="s">
        <v>35</v>
      </c>
      <c r="C7" s="3">
        <v>45258</v>
      </c>
      <c r="D7" s="4">
        <v>48000</v>
      </c>
      <c r="E7" s="4">
        <v>3</v>
      </c>
      <c r="F7" s="2" t="s">
        <v>17</v>
      </c>
      <c r="G7" s="2" t="s">
        <v>25</v>
      </c>
      <c r="H7" s="2" t="s">
        <v>36</v>
      </c>
      <c r="J7" s="2"/>
      <c r="K7" s="2" t="s">
        <v>37</v>
      </c>
      <c r="L7" s="2" t="str">
        <f>VLOOKUP(K7,A:H,2,TRUE)</f>
        <v>Ankit Paliwal</v>
      </c>
      <c r="M7" s="2" t="e">
        <f>VLOOKUP(K7,A:H,3,0)-1</f>
        <v>#N/A</v>
      </c>
      <c r="N7" s="2" t="e">
        <f>VLOOKUP(K7,A:H,7,0)</f>
        <v>#N/A</v>
      </c>
      <c r="O7" s="2"/>
      <c r="P7" s="2"/>
      <c r="Q7" s="2"/>
      <c r="R7" s="2"/>
      <c r="S7" s="6" t="s">
        <v>1</v>
      </c>
      <c r="T7" s="7" t="s">
        <v>0</v>
      </c>
      <c r="U7" s="7" t="s">
        <v>3</v>
      </c>
      <c r="V7" s="7" t="s">
        <v>6</v>
      </c>
      <c r="W7" s="7" t="s">
        <v>7</v>
      </c>
      <c r="X7" s="2"/>
      <c r="Y7" s="2"/>
      <c r="Z7" s="2"/>
      <c r="AA7" s="2"/>
      <c r="AB7" s="2"/>
      <c r="AC7" s="2"/>
    </row>
    <row r="8" spans="1:29" ht="15.75" customHeight="1" x14ac:dyDescent="0.3">
      <c r="A8" s="2" t="s">
        <v>38</v>
      </c>
      <c r="B8" s="2" t="s">
        <v>39</v>
      </c>
      <c r="C8" s="5">
        <v>45326</v>
      </c>
      <c r="D8" s="4">
        <v>35000</v>
      </c>
      <c r="E8" s="4">
        <v>2</v>
      </c>
      <c r="F8" s="2" t="s">
        <v>40</v>
      </c>
      <c r="G8" s="2" t="s">
        <v>18</v>
      </c>
      <c r="H8" s="2" t="s">
        <v>41</v>
      </c>
      <c r="J8" s="2"/>
      <c r="K8" s="2"/>
      <c r="L8" s="2"/>
      <c r="M8" s="2"/>
      <c r="N8" s="2"/>
      <c r="O8" s="2"/>
      <c r="P8" s="2"/>
      <c r="Q8" s="2"/>
      <c r="R8" s="2"/>
      <c r="S8" s="2" t="s">
        <v>29</v>
      </c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customHeight="1" x14ac:dyDescent="0.3">
      <c r="A9" s="2" t="s">
        <v>22</v>
      </c>
      <c r="B9" s="2" t="s">
        <v>42</v>
      </c>
      <c r="C9" s="5">
        <v>44215</v>
      </c>
      <c r="D9" s="4">
        <v>103000</v>
      </c>
      <c r="E9" s="4">
        <v>5</v>
      </c>
      <c r="F9" s="2" t="s">
        <v>10</v>
      </c>
      <c r="G9" s="2" t="s">
        <v>11</v>
      </c>
      <c r="H9" s="2" t="s">
        <v>43</v>
      </c>
      <c r="J9" s="2"/>
      <c r="K9" s="10" t="s">
        <v>44</v>
      </c>
      <c r="L9" s="9"/>
      <c r="M9" s="9"/>
      <c r="N9" s="9"/>
      <c r="O9" s="9"/>
      <c r="P9" s="2"/>
      <c r="Q9" s="2"/>
      <c r="R9" s="2"/>
      <c r="S9" s="2" t="s">
        <v>45</v>
      </c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 x14ac:dyDescent="0.3">
      <c r="A10" s="2" t="s">
        <v>46</v>
      </c>
      <c r="B10" s="2" t="s">
        <v>47</v>
      </c>
      <c r="C10" s="5">
        <v>45046</v>
      </c>
      <c r="D10" s="4">
        <v>41000</v>
      </c>
      <c r="E10" s="4">
        <v>3.5</v>
      </c>
      <c r="F10" s="2" t="s">
        <v>30</v>
      </c>
      <c r="G10" s="2" t="s">
        <v>48</v>
      </c>
      <c r="H10" s="2" t="s">
        <v>31</v>
      </c>
      <c r="J10" s="2"/>
      <c r="K10" s="2">
        <f>COUNTIF(D2:D19,"&gt;40000")</f>
        <v>14</v>
      </c>
      <c r="L10" s="2"/>
      <c r="M10" s="2"/>
      <c r="N10" s="2"/>
      <c r="O10" s="2"/>
      <c r="P10" s="2"/>
      <c r="Q10" s="2"/>
      <c r="R10" s="2"/>
      <c r="S10" s="2" t="s">
        <v>49</v>
      </c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 x14ac:dyDescent="0.3">
      <c r="A11" s="2" t="s">
        <v>8</v>
      </c>
      <c r="B11" s="2" t="s">
        <v>50</v>
      </c>
      <c r="C11" s="5">
        <v>44967</v>
      </c>
      <c r="D11" s="4">
        <v>33500</v>
      </c>
      <c r="E11" s="4">
        <v>1.5</v>
      </c>
      <c r="F11" s="2" t="s">
        <v>17</v>
      </c>
      <c r="G11" s="2" t="s">
        <v>51</v>
      </c>
      <c r="H11" s="2" t="s">
        <v>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5.75" customHeight="1" x14ac:dyDescent="0.3">
      <c r="A12" s="2" t="s">
        <v>52</v>
      </c>
      <c r="B12" s="2" t="s">
        <v>53</v>
      </c>
      <c r="C12" s="5">
        <v>44580</v>
      </c>
      <c r="D12" s="4">
        <v>48000</v>
      </c>
      <c r="E12" s="4">
        <v>4</v>
      </c>
      <c r="F12" s="2" t="s">
        <v>54</v>
      </c>
      <c r="G12" s="2" t="s">
        <v>18</v>
      </c>
      <c r="H12" s="2" t="s">
        <v>55</v>
      </c>
      <c r="J12" s="2"/>
      <c r="K12" s="10" t="s">
        <v>73</v>
      </c>
      <c r="L12" s="9"/>
      <c r="M12" s="9"/>
      <c r="N12" s="9"/>
      <c r="O12" s="9"/>
      <c r="P12" s="9"/>
      <c r="Q12" s="9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 x14ac:dyDescent="0.3">
      <c r="A13" s="2" t="s">
        <v>56</v>
      </c>
      <c r="B13" s="2" t="s">
        <v>45</v>
      </c>
      <c r="C13" s="5">
        <v>45629</v>
      </c>
      <c r="D13" s="4">
        <v>28000</v>
      </c>
      <c r="E13" s="4">
        <v>1</v>
      </c>
      <c r="F13" s="2" t="s">
        <v>17</v>
      </c>
      <c r="G13" s="2" t="s">
        <v>51</v>
      </c>
      <c r="H13" s="2" t="s">
        <v>36</v>
      </c>
      <c r="J13" s="2"/>
      <c r="K13" s="2">
        <f>AVERAGEIFS(D2:D19,E2:E19,"&gt;3",G2:G19,"DELHI")</f>
        <v>81000</v>
      </c>
      <c r="L13" s="2"/>
      <c r="M13" s="2"/>
      <c r="N13" s="2"/>
      <c r="O13" s="2"/>
      <c r="P13" s="2"/>
      <c r="Q13" s="2"/>
      <c r="R13" s="2"/>
      <c r="S13" s="8" t="s">
        <v>57</v>
      </c>
      <c r="T13" s="9"/>
      <c r="U13" s="9"/>
      <c r="V13" s="9"/>
      <c r="W13" s="9"/>
      <c r="X13" s="9"/>
      <c r="Y13" s="2"/>
      <c r="Z13" s="2"/>
      <c r="AA13" s="2"/>
      <c r="AB13" s="2"/>
      <c r="AC13" s="2"/>
    </row>
    <row r="14" spans="1:29" ht="15.75" customHeight="1" x14ac:dyDescent="0.3">
      <c r="A14" s="2" t="s">
        <v>27</v>
      </c>
      <c r="B14" s="2" t="s">
        <v>58</v>
      </c>
      <c r="C14" s="3">
        <v>44860</v>
      </c>
      <c r="D14" s="4">
        <v>43000</v>
      </c>
      <c r="E14" s="4">
        <v>1.5</v>
      </c>
      <c r="F14" s="2" t="s">
        <v>17</v>
      </c>
      <c r="G14" s="2" t="s">
        <v>25</v>
      </c>
      <c r="H14" s="2" t="s">
        <v>36</v>
      </c>
      <c r="J14" s="2"/>
      <c r="K14" s="2">
        <f>AVERAGEIFS(D2:D19,E2:E19,"&gt;4",G2:G19,"DELHI")</f>
        <v>82500</v>
      </c>
      <c r="L14" s="2"/>
      <c r="M14" s="2"/>
      <c r="N14" s="2"/>
      <c r="O14" s="2"/>
      <c r="P14" s="2"/>
      <c r="Q14" s="2"/>
      <c r="R14" s="2"/>
      <c r="S14" s="6" t="s">
        <v>0</v>
      </c>
      <c r="T14" s="7" t="s">
        <v>1</v>
      </c>
      <c r="U14" s="7" t="s">
        <v>2</v>
      </c>
      <c r="V14" s="7" t="s">
        <v>5</v>
      </c>
      <c r="W14" s="7" t="s">
        <v>6</v>
      </c>
      <c r="X14" s="7" t="s">
        <v>7</v>
      </c>
      <c r="Y14" s="2"/>
      <c r="Z14" s="2"/>
      <c r="AA14" s="2"/>
      <c r="AB14" s="2"/>
      <c r="AC14" s="2"/>
    </row>
    <row r="15" spans="1:29" ht="15.75" customHeight="1" x14ac:dyDescent="0.3">
      <c r="A15" s="2" t="s">
        <v>59</v>
      </c>
      <c r="B15" s="2" t="s">
        <v>60</v>
      </c>
      <c r="C15" s="5">
        <v>44728</v>
      </c>
      <c r="D15" s="4">
        <v>57500</v>
      </c>
      <c r="E15" s="4">
        <v>3</v>
      </c>
      <c r="F15" s="2" t="s">
        <v>10</v>
      </c>
      <c r="G15" s="2" t="s">
        <v>11</v>
      </c>
      <c r="H15" s="2" t="s">
        <v>12</v>
      </c>
      <c r="J15" s="2"/>
      <c r="K15" s="10" t="s">
        <v>61</v>
      </c>
      <c r="L15" s="9"/>
      <c r="M15" s="9"/>
      <c r="N15" s="9"/>
      <c r="O15" s="2"/>
      <c r="P15" s="2"/>
      <c r="Q15" s="2"/>
      <c r="R15" s="2"/>
      <c r="S15" s="2" t="s">
        <v>56</v>
      </c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.75" customHeight="1" x14ac:dyDescent="0.3">
      <c r="A16" s="2" t="s">
        <v>62</v>
      </c>
      <c r="B16" s="2" t="s">
        <v>49</v>
      </c>
      <c r="C16" s="5">
        <v>45129</v>
      </c>
      <c r="D16" s="4">
        <v>62000</v>
      </c>
      <c r="E16" s="4">
        <v>3.5</v>
      </c>
      <c r="F16" s="2" t="s">
        <v>30</v>
      </c>
      <c r="G16" s="2" t="s">
        <v>48</v>
      </c>
      <c r="H16" s="2" t="s">
        <v>31</v>
      </c>
      <c r="J16" s="2"/>
      <c r="K16" s="6" t="s">
        <v>5</v>
      </c>
      <c r="L16" s="7" t="s">
        <v>63</v>
      </c>
      <c r="M16" s="7" t="s">
        <v>64</v>
      </c>
      <c r="N16" s="2"/>
      <c r="O16" s="2"/>
      <c r="P16" s="2"/>
      <c r="Q16" s="2"/>
      <c r="R16" s="2"/>
      <c r="S16" s="2" t="s">
        <v>34</v>
      </c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75" customHeight="1" x14ac:dyDescent="0.3">
      <c r="A17" s="2" t="s">
        <v>32</v>
      </c>
      <c r="B17" s="2" t="s">
        <v>65</v>
      </c>
      <c r="C17" s="5">
        <v>45154</v>
      </c>
      <c r="D17" s="4">
        <v>65000</v>
      </c>
      <c r="E17" s="4">
        <v>4</v>
      </c>
      <c r="F17" s="2" t="s">
        <v>10</v>
      </c>
      <c r="G17" s="2" t="s">
        <v>51</v>
      </c>
      <c r="H17" s="2" t="s">
        <v>12</v>
      </c>
      <c r="J17" s="2"/>
      <c r="K17" s="2" t="s">
        <v>17</v>
      </c>
      <c r="L17" s="2">
        <f>COUNTIF($F$2:$F$19,"Sales")</f>
        <v>5</v>
      </c>
      <c r="M17" s="2"/>
      <c r="N17" s="2"/>
      <c r="O17" s="2"/>
      <c r="P17" s="2"/>
      <c r="Q17" s="2"/>
      <c r="R17" s="2"/>
      <c r="S17" s="2" t="s">
        <v>8</v>
      </c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customHeight="1" x14ac:dyDescent="0.3">
      <c r="A18" s="2" t="s">
        <v>66</v>
      </c>
      <c r="B18" s="2" t="s">
        <v>67</v>
      </c>
      <c r="C18" s="3">
        <v>45596</v>
      </c>
      <c r="D18" s="4">
        <v>38500</v>
      </c>
      <c r="E18" s="4">
        <v>2</v>
      </c>
      <c r="F18" s="2" t="s">
        <v>30</v>
      </c>
      <c r="G18" s="2" t="s">
        <v>48</v>
      </c>
      <c r="H18" s="2" t="s">
        <v>31</v>
      </c>
      <c r="J18" s="2"/>
      <c r="K18" s="2" t="s">
        <v>10</v>
      </c>
      <c r="L18" s="2">
        <f>COUNTIF($F$2:$F$19,"IT")</f>
        <v>6</v>
      </c>
      <c r="M18" s="2"/>
      <c r="N18" s="2"/>
      <c r="O18" s="2"/>
      <c r="P18" s="2"/>
      <c r="Q18" s="2"/>
      <c r="R18" s="2"/>
      <c r="S18" s="2" t="s">
        <v>68</v>
      </c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customHeight="1" x14ac:dyDescent="0.3">
      <c r="A19" s="2" t="s">
        <v>69</v>
      </c>
      <c r="B19" s="2" t="s">
        <v>70</v>
      </c>
      <c r="C19" s="3">
        <v>45279</v>
      </c>
      <c r="D19" s="4">
        <v>46500</v>
      </c>
      <c r="E19" s="4">
        <v>2.5</v>
      </c>
      <c r="F19" s="2" t="s">
        <v>54</v>
      </c>
      <c r="G19" s="2" t="s">
        <v>48</v>
      </c>
      <c r="H19" s="2" t="s">
        <v>55</v>
      </c>
      <c r="J19" s="2"/>
      <c r="K19" s="2" t="s">
        <v>30</v>
      </c>
      <c r="L19" s="2">
        <f>COUNTIF($F$2:$F$19,"FINANCE")</f>
        <v>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customHeight="1" x14ac:dyDescent="0.3">
      <c r="A20" s="2"/>
      <c r="B20" s="2"/>
      <c r="C20" s="2"/>
      <c r="D20" s="2"/>
      <c r="E20" s="2"/>
      <c r="F20" s="2"/>
      <c r="G20" s="2"/>
      <c r="H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 x14ac:dyDescent="0.3">
      <c r="A21" s="2"/>
      <c r="B21" s="2"/>
      <c r="C21" s="2"/>
      <c r="D21" s="2"/>
      <c r="E21" s="2"/>
      <c r="F21" s="2"/>
      <c r="G21" s="2"/>
      <c r="H21" s="2"/>
      <c r="J21" s="2"/>
      <c r="K21" s="10" t="s">
        <v>71</v>
      </c>
      <c r="L21" s="9"/>
      <c r="M21" s="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3">
      <c r="A22" s="2"/>
      <c r="B22" s="2"/>
      <c r="C22" s="2"/>
      <c r="D22" s="2"/>
      <c r="E22" s="2"/>
      <c r="F22" s="2"/>
      <c r="G22" s="2"/>
      <c r="H22" s="2"/>
      <c r="J22" s="2"/>
      <c r="K22" s="6" t="s">
        <v>5</v>
      </c>
      <c r="L22" s="7" t="s">
        <v>72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3">
      <c r="A23" s="2"/>
      <c r="B23" s="1"/>
      <c r="C23" s="1"/>
      <c r="D23" s="1"/>
      <c r="E23" s="2"/>
      <c r="F23" s="2"/>
      <c r="G23" s="2"/>
      <c r="H23" s="2"/>
      <c r="J23" s="2"/>
      <c r="K23" s="2" t="s">
        <v>17</v>
      </c>
      <c r="L23" s="2">
        <f>AVERAGE(D2:D19)</f>
        <v>57444.444444444445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 x14ac:dyDescent="0.3">
      <c r="A24" s="2"/>
      <c r="B24" s="2"/>
      <c r="C24" s="2"/>
      <c r="D24" s="2"/>
      <c r="E24" s="2"/>
      <c r="F24" s="2"/>
      <c r="G24" s="2"/>
      <c r="H24" s="2"/>
      <c r="J24" s="2"/>
      <c r="K24" s="2" t="s">
        <v>40</v>
      </c>
      <c r="L24" s="2">
        <f t="shared" ref="L24:L27" si="0">AVERAGE(D3:D20)</f>
        <v>56235.294117647056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4" x14ac:dyDescent="0.3">
      <c r="A25" s="2"/>
      <c r="B25" s="2"/>
      <c r="C25" s="2"/>
      <c r="D25" s="2"/>
      <c r="E25" s="2"/>
      <c r="F25" s="2"/>
      <c r="G25" s="2"/>
      <c r="H25" s="2"/>
      <c r="J25" s="2"/>
      <c r="K25" s="2" t="s">
        <v>54</v>
      </c>
      <c r="L25" s="2">
        <f t="shared" si="0"/>
        <v>56375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4" x14ac:dyDescent="0.3">
      <c r="A26" s="2"/>
      <c r="B26" s="2"/>
      <c r="C26" s="2"/>
      <c r="D26" s="2"/>
      <c r="E26" s="2"/>
      <c r="F26" s="2"/>
      <c r="G26" s="2"/>
      <c r="H26" s="2"/>
      <c r="J26" s="2"/>
      <c r="K26" s="2" t="s">
        <v>30</v>
      </c>
      <c r="L26" s="2">
        <f t="shared" si="0"/>
        <v>56000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4" x14ac:dyDescent="0.3">
      <c r="A27" s="2"/>
      <c r="B27" s="2"/>
      <c r="C27" s="2"/>
      <c r="D27" s="2"/>
      <c r="E27" s="2"/>
      <c r="F27" s="2"/>
      <c r="G27" s="2"/>
      <c r="H27" s="2"/>
      <c r="J27" s="2"/>
      <c r="K27" s="2" t="s">
        <v>10</v>
      </c>
      <c r="L27" s="2">
        <f t="shared" si="0"/>
        <v>51142.857142857145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4" x14ac:dyDescent="0.3">
      <c r="A28" s="2"/>
      <c r="B28" s="2"/>
      <c r="C28" s="2"/>
      <c r="D28" s="2"/>
      <c r="E28" s="2"/>
      <c r="F28" s="2"/>
      <c r="G28" s="2"/>
      <c r="H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4" x14ac:dyDescent="0.3">
      <c r="A29" s="2"/>
      <c r="B29" s="2"/>
      <c r="C29" s="2"/>
      <c r="D29" s="2"/>
      <c r="E29" s="2"/>
      <c r="F29" s="2"/>
      <c r="G29" s="2"/>
      <c r="H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</sheetData>
  <mergeCells count="8">
    <mergeCell ref="S13:X13"/>
    <mergeCell ref="K15:N15"/>
    <mergeCell ref="K21:M21"/>
    <mergeCell ref="K2:O2"/>
    <mergeCell ref="S2:W2"/>
    <mergeCell ref="S6:AA6"/>
    <mergeCell ref="K9:O9"/>
    <mergeCell ref="K12:Q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anoop verma</cp:lastModifiedBy>
  <dcterms:modified xsi:type="dcterms:W3CDTF">2026-09-02T12:34:42Z</dcterms:modified>
</cp:coreProperties>
</file>